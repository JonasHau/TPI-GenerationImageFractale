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</calcChain>
</file>

<file path=xl/sharedStrings.xml><?xml version="1.0" encoding="utf-8"?>
<sst xmlns="http://schemas.openxmlformats.org/spreadsheetml/2006/main" count="105" uniqueCount="60">
  <si>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</si>
  <si>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</si>
  <si>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</si>
  <si>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</si>
  <si>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</si>
  <si>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</si>
  <si>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</si>
  <si>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</si>
  <si>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</si>
  <si>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</si>
  <si>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</si>
  <si>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</si>
  <si>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</si>
  <si>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</si>
  <si>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connaissances du cahier des charges et rencontre de l'expert 1.</t>
  </si>
  <si>
    <t>Mise au clair des conditions du TPI et du CdC.</t>
  </si>
  <si>
    <t>Création de la planification initiale.</t>
  </si>
  <si>
    <t>Définition des tâches et de l'ordre dans lequel il faudra les exécuter.</t>
  </si>
  <si>
    <t>Estimation du temps nécessaire pour chaque tâche.</t>
  </si>
  <si>
    <t>Adaptation du canevas de ma documentation au projet.</t>
  </si>
  <si>
    <t>Rédaction de l'introduction et avancement dans les objectifs du projet.</t>
  </si>
  <si>
    <t>Correction de la planification initiale et finalisation de l'analyse préliminaire.</t>
  </si>
  <si>
    <t>Rencontre avec la cheffe de projet pour s'assurer que tout est OK.</t>
  </si>
  <si>
    <t>Création du MCD et intégration dans la documentation.</t>
  </si>
  <si>
    <t>Création des maquettes du programme.</t>
  </si>
  <si>
    <t>Définition de la stratégie de tests.</t>
  </si>
  <si>
    <t>J'ai testé XaoS, usefuljs.net/fractals/, www.arthy.org/fractal/index.php, Fractal Map et Mandelbrot Explorer</t>
  </si>
  <si>
    <t>Avancement dans l'évaluation des risques techniques.</t>
  </si>
  <si>
    <t>Risques techniques terminés.</t>
  </si>
  <si>
    <t>Revue de mes tests avec un camarade pour voir s'il trouvait des cas que je n'avais pas pris en compte.</t>
  </si>
  <si>
    <t>Rédaction des tests du programme.</t>
  </si>
  <si>
    <t>Test de différents programmes pour trouver celui que j'utiliserai pour valider mes tests.</t>
  </si>
  <si>
    <t>Il est très primitif pour l'instant. Il sera amélioré une fois que la séquence sera implémentée et fonctionnelle.</t>
  </si>
  <si>
    <t>Création du diagramme de séquence.</t>
  </si>
  <si>
    <t>Création du MLD.</t>
  </si>
  <si>
    <t>Rédaction du dossier de conception, intégration du MLD et des diagrammes de classe et de séquence.</t>
  </si>
  <si>
    <t>Finalisation du diagramme de classes.</t>
  </si>
  <si>
    <t>Diagramme de classes, en cours.</t>
  </si>
  <si>
    <t>Création de la planification finale.</t>
  </si>
  <si>
    <t>Finalisation de la partie Analyse/Conception.</t>
  </si>
  <si>
    <t>Développement de l'interface du programme.</t>
  </si>
  <si>
    <t>Avancement dans l'affichage de l'ensemble de Mandelbrot.</t>
  </si>
  <si>
    <t>L'algorithme pour détecter si un point faire partie de l'ensemble de Mandelbrot fonctionne.</t>
  </si>
  <si>
    <t>Mise en place d'un algorithme qui convertit les coordonnées de la bitmap en coordonnées pour le plan complèxe.</t>
  </si>
  <si>
    <t>Après avoir cherché l'algorithme par moi-même sans succès, je l'ai cherché et trouvé sur internet (lien dans le code pour l'instant).</t>
  </si>
  <si>
    <t>Génération du Mandelbrot fonctionnelle (bugfix et amélioration du temps d'exécution à faire).</t>
  </si>
  <si>
    <t>Correction d'un bug: l'axe des imaginaires était inversé.</t>
  </si>
  <si>
    <t>Réflexions pour implémenter l'algorithme de manière parallèlisée.</t>
  </si>
  <si>
    <t>Je pensais simplement pouvoir utiliser Parallel.For mais cela cause des erreurs fatales quand plusieurs threads essayent d'accéder à la bitmap.</t>
  </si>
  <si>
    <t>Mise en forme du code (ajout de classes et méthodes), gestion des erreurs avec des exceptions personnalisées, modification du curseur durant le chargement pour indiquer à l'utilisateur que le traitement est en cours et ajout de commentaires au code structuré.</t>
  </si>
  <si>
    <t>Mise en place de l'exportation png de la fractale.</t>
  </si>
  <si>
    <t>CRUD de la base de données fonctionnelle avec le packet SQLite.</t>
  </si>
  <si>
    <t>Création d'une image pour la page de garde avec le programme.</t>
  </si>
  <si>
    <t>Rédaction de la fonction de sauvegarde.</t>
  </si>
  <si>
    <t>J'ai eu de la peine à la modification du Select, je n'arrivais pas à lire les données car je ne trouvais pas la bonne fonction de lecture (dépend du type).
J'ai également été bloqué un moment sur un problème de listes : quand j'ajoutais une entrée de la BDD à ma liste à retourner, toutes les entrées prennaient les valeurs de la dernière entrée ajoutée. Pour résoudre ce bug, j'ai ajouté un code qui instancie l'entrée à ajouter avant de l'ajouter.</t>
  </si>
  <si>
    <t>Modification du Select pour lire toutes les colonnes de la base de données, rédaction de la fonction de chargement de l'historique, rédaction de la fonction qui charge une fractale à partir de l'historique mais impossible de l'utiliser actuellement (problème de références).</t>
  </si>
  <si>
    <t>L'interface est désormais dynamique : selon la fractale sélectionnée, uniquement les champs nécessaires sont affichés.</t>
  </si>
  <si>
    <t>Documentation sur la génération de l'ensemble de Julia.</t>
  </si>
  <si>
    <t>Sources utilisées :
https://complex-analysis.com/content/julia_set.html
https://youtu.be/oCkQ7WK7vuY</t>
  </si>
  <si>
    <t>Génération de l'ensemble de Julia fonctionnel.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</si>
</sst>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4334.665193981484" createdVersion="4" refreshedVersion="6" minRefreshableVersion="3" recordCount="39">
  <cacheSource type="worksheet">
    <worksheetSource ref="A1:D40" sheet="Journal" r:id="rId2"/>
  </cacheSource>
  <cacheFields count="4">
    <cacheField name="Jour" numFmtId="16">
      <sharedItems containsSemiMixedTypes="0" containsNonDate="0" containsDate="1" containsString="0" minDate="2018-01-01T00:00:00" maxDate="2021-05-19T00:00:00" count="38">
        <d v="2021-05-18T00:00:00"/>
        <d v="2021-05-17T00:00:00"/>
        <d v="2021-05-11T00:00:00"/>
        <d v="2021-05-10T00:00:00"/>
        <d v="2021-05-07T00:00:00"/>
        <d v="2021-05-06T00:00:00"/>
        <d v="2021-05-04T00:00:00"/>
        <d v="2021-05-03T00:00:00"/>
        <d v="2021-03-14T00:00:00" u="1"/>
        <d v="2021-02-02T00:00:00" u="1"/>
        <d v="2021-03-26T00:00:00" u="1"/>
        <d v="2021-03-31T00:00:00" u="1"/>
        <d v="2021-03-05T00:00:00" u="1"/>
        <d v="2021-02-19T00:00:00" u="1"/>
        <d v="2021-02-12T00:00:00" u="1"/>
        <d v="2021-02-05T00:00:00" u="1"/>
        <d v="2021-03-10T00:00:00" u="1"/>
        <d v="2021-03-29T00:00:00" u="1"/>
        <d v="2021-03-03T00:00:00" u="1"/>
        <d v="2021-02-17T00:00:00" u="1"/>
        <d v="2021-03-22T00:00:00" u="1"/>
        <d v="2021-02-10T00:00:00" u="1"/>
        <d v="2021-04-01T00:00:00" u="1"/>
        <d v="2021-03-15T00:00:00" u="1"/>
        <d v="2021-03-08T00:00:00" u="1"/>
        <d v="2021-03-01T00:00:00" u="1"/>
        <d v="2021-02-15T00:00:00" u="1"/>
        <d v="2021-02-08T00:00:00" u="1"/>
        <d v="2021-03-13T00:00:00" u="1"/>
        <d v="2021-02-01T00:00:00" u="1"/>
        <d v="2021-03-25T00:00:00" u="1"/>
        <d v="2018-01-01T00:00:00" u="1"/>
        <d v="2021-03-18T00:00:00" u="1"/>
        <d v="2021-03-11T00:00:00" u="1"/>
        <d v="2021-03-04T00:00:00" u="1"/>
        <d v="2021-02-18T00:00:00" u="1"/>
        <d v="2021-02-11T00:00:00" u="1"/>
        <d v="2021-02-04T00:00:00" u="1"/>
      </sharedItems>
    </cacheField>
    <cacheField name="Semaine" numFmtId="1">
      <sharedItems containsSemiMixedTypes="0" containsString="0" containsNumber="1" containsInteger="1" minValue="19" maxValue="21"/>
    </cacheField>
    <cacheField name="Temps [h]" numFmtId="2">
      <sharedItems containsSemiMixedTypes="0" containsString="0" containsNumber="1" minValue="0.25" maxValue="5"/>
    </cacheField>
    <cacheField name="Type" numFmtId="0">
      <sharedItems count="4">
        <s v="Implémentation"/>
        <s v="Analyse"/>
        <s v="Documentation"/>
        <s v="Tes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21"/>
    <n v="0.5"/>
    <x v="0"/>
  </r>
  <r>
    <x v="0"/>
    <n v="21"/>
    <n v="0.25"/>
    <x v="1"/>
  </r>
  <r>
    <x v="0"/>
    <n v="21"/>
    <n v="0.75"/>
    <x v="0"/>
  </r>
  <r>
    <x v="0"/>
    <n v="21"/>
    <n v="3.75"/>
    <x v="0"/>
  </r>
  <r>
    <x v="0"/>
    <n v="21"/>
    <n v="0.75"/>
    <x v="0"/>
  </r>
  <r>
    <x v="1"/>
    <n v="21"/>
    <n v="0.25"/>
    <x v="2"/>
  </r>
  <r>
    <x v="1"/>
    <n v="21"/>
    <n v="0.5"/>
    <x v="0"/>
  </r>
  <r>
    <x v="1"/>
    <n v="21"/>
    <n v="1"/>
    <x v="0"/>
  </r>
  <r>
    <x v="1"/>
    <n v="21"/>
    <n v="5"/>
    <x v="0"/>
  </r>
  <r>
    <x v="2"/>
    <n v="20"/>
    <n v="0.5"/>
    <x v="1"/>
  </r>
  <r>
    <x v="2"/>
    <n v="20"/>
    <n v="0.5"/>
    <x v="0"/>
  </r>
  <r>
    <x v="2"/>
    <n v="20"/>
    <n v="1"/>
    <x v="0"/>
  </r>
  <r>
    <x v="2"/>
    <n v="20"/>
    <n v="1.5"/>
    <x v="0"/>
  </r>
  <r>
    <x v="2"/>
    <n v="20"/>
    <n v="1.25"/>
    <x v="0"/>
  </r>
  <r>
    <x v="2"/>
    <n v="20"/>
    <n v="1.25"/>
    <x v="0"/>
  </r>
  <r>
    <x v="3"/>
    <n v="20"/>
    <n v="1.5"/>
    <x v="0"/>
  </r>
  <r>
    <x v="3"/>
    <n v="20"/>
    <n v="1.5"/>
    <x v="0"/>
  </r>
  <r>
    <x v="3"/>
    <n v="20"/>
    <n v="0.5"/>
    <x v="2"/>
  </r>
  <r>
    <x v="3"/>
    <n v="20"/>
    <n v="0.5"/>
    <x v="1"/>
  </r>
  <r>
    <x v="3"/>
    <n v="20"/>
    <n v="0.75"/>
    <x v="2"/>
  </r>
  <r>
    <x v="3"/>
    <n v="20"/>
    <n v="0.5"/>
    <x v="1"/>
  </r>
  <r>
    <x v="3"/>
    <n v="20"/>
    <n v="0.75"/>
    <x v="1"/>
  </r>
  <r>
    <x v="3"/>
    <n v="20"/>
    <n v="0.25"/>
    <x v="1"/>
  </r>
  <r>
    <x v="4"/>
    <n v="19"/>
    <n v="2.25"/>
    <x v="1"/>
  </r>
  <r>
    <x v="4"/>
    <n v="19"/>
    <n v="0.75"/>
    <x v="1"/>
  </r>
  <r>
    <x v="5"/>
    <n v="19"/>
    <n v="1.25"/>
    <x v="1"/>
  </r>
  <r>
    <x v="5"/>
    <n v="19"/>
    <n v="0.75"/>
    <x v="2"/>
  </r>
  <r>
    <x v="5"/>
    <n v="19"/>
    <n v="4.75"/>
    <x v="1"/>
  </r>
  <r>
    <x v="6"/>
    <n v="19"/>
    <n v="0.5"/>
    <x v="3"/>
  </r>
  <r>
    <x v="6"/>
    <n v="19"/>
    <n v="1"/>
    <x v="1"/>
  </r>
  <r>
    <x v="6"/>
    <n v="19"/>
    <n v="3"/>
    <x v="1"/>
  </r>
  <r>
    <x v="6"/>
    <n v="19"/>
    <n v="0.75"/>
    <x v="1"/>
  </r>
  <r>
    <x v="6"/>
    <n v="19"/>
    <n v="0.25"/>
    <x v="1"/>
  </r>
  <r>
    <x v="6"/>
    <n v="19"/>
    <n v="0.5"/>
    <x v="1"/>
  </r>
  <r>
    <x v="7"/>
    <n v="19"/>
    <n v="0.75"/>
    <x v="1"/>
  </r>
  <r>
    <x v="7"/>
    <n v="19"/>
    <n v="0.75"/>
    <x v="2"/>
  </r>
  <r>
    <x v="7"/>
    <n v="19"/>
    <n v="2"/>
    <x v="1"/>
  </r>
  <r>
    <x v="7"/>
    <n v="19"/>
    <n v="2"/>
    <x v="1"/>
  </r>
  <r>
    <x v="7"/>
    <n v="19"/>
    <n v="1.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3" firstHeaderRow="1" firstDataRow="2" firstDataCol="1"/>
  <pivotFields count="4">
    <pivotField axis="axisRow" numFmtId="16" showAll="0" sortType="ascending">
      <items count="39">
        <item m="1" x="31"/>
        <item m="1" x="29"/>
        <item m="1" x="9"/>
        <item m="1" x="37"/>
        <item m="1" x="15"/>
        <item m="1" x="27"/>
        <item m="1" x="21"/>
        <item m="1" x="36"/>
        <item m="1" x="14"/>
        <item m="1" x="26"/>
        <item m="1" x="19"/>
        <item m="1" x="35"/>
        <item m="1" x="13"/>
        <item m="1" x="25"/>
        <item m="1" x="18"/>
        <item m="1" x="34"/>
        <item m="1" x="12"/>
        <item m="1" x="24"/>
        <item m="1" x="16"/>
        <item m="1" x="33"/>
        <item m="1" x="28"/>
        <item m="1" x="8"/>
        <item m="1" x="23"/>
        <item m="1" x="32"/>
        <item m="1" x="20"/>
        <item m="1" x="30"/>
        <item m="1" x="10"/>
        <item m="1" x="17"/>
        <item m="1" x="11"/>
        <item m="1" x="22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dataField="1" showAll="0"/>
    <pivotField axis="axisCol" showAll="0">
      <items count="5">
        <item x="2"/>
        <item x="0"/>
        <item x="1"/>
        <item x="3"/>
        <item t="default"/>
      </items>
    </pivotField>
  </pivotFields>
  <rowFields count="1">
    <field x="0"/>
  </rowFields>
  <rowItems count="9"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1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8" bestFit="1" customWidth="1"/>
    <col min="2" max="2" width="8.85546875" style="20" customWidth="1"/>
    <col min="3" max="3" width="10" style="16" customWidth="1"/>
    <col min="4" max="4" width="14.7109375" style="8" bestFit="1" customWidth="1"/>
    <col min="5" max="5" width="80.7109375" style="17" bestFit="1" customWidth="1"/>
    <col min="6" max="6" width="75.140625" style="17" customWidth="1"/>
    <col min="7" max="16384" width="9.140625" style="11"/>
  </cols>
  <sheetData>
    <row r="1" spans="1:9" ht="15.75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44334</v>
      </c>
      <c r="B2" s="19">
        <f t="shared" ref="B2" si="0">WEEKNUM(A2)</f>
        <v>21</v>
      </c>
      <c r="C2" s="12">
        <v>0.5</v>
      </c>
      <c r="D2" s="13" t="s">
        <v>7</v>
      </c>
      <c r="E2" s="14" t="s">
        <v>59</v>
      </c>
      <c r="F2" s="14"/>
      <c r="I2" s="15"/>
    </row>
    <row r="3" spans="1:9" ht="45" x14ac:dyDescent="0.25">
      <c r="A3" s="7">
        <v>44334</v>
      </c>
      <c r="B3" s="19">
        <f t="shared" ref="B3" si="1">WEEKNUM(A3)</f>
        <v>21</v>
      </c>
      <c r="C3" s="12">
        <v>0.25</v>
      </c>
      <c r="D3" s="13" t="s">
        <v>6</v>
      </c>
      <c r="E3" s="14" t="s">
        <v>57</v>
      </c>
      <c r="F3" s="14" t="s">
        <v>58</v>
      </c>
      <c r="I3" s="15"/>
    </row>
    <row r="4" spans="1:9" ht="30" x14ac:dyDescent="0.25">
      <c r="A4" s="7">
        <v>44334</v>
      </c>
      <c r="B4" s="19">
        <f t="shared" ref="B4" si="2">WEEKNUM(A4)</f>
        <v>21</v>
      </c>
      <c r="C4" s="12">
        <v>0.75</v>
      </c>
      <c r="D4" s="13" t="s">
        <v>7</v>
      </c>
      <c r="E4" s="14" t="s">
        <v>56</v>
      </c>
      <c r="F4" s="14"/>
      <c r="I4" s="15"/>
    </row>
    <row r="5" spans="1:9" ht="90" x14ac:dyDescent="0.25">
      <c r="A5" s="7">
        <v>44334</v>
      </c>
      <c r="B5" s="19">
        <f t="shared" ref="B5" si="3">WEEKNUM(A5)</f>
        <v>21</v>
      </c>
      <c r="C5" s="12">
        <v>3.75</v>
      </c>
      <c r="D5" s="13" t="s">
        <v>7</v>
      </c>
      <c r="E5" s="14" t="s">
        <v>55</v>
      </c>
      <c r="F5" s="14" t="s">
        <v>54</v>
      </c>
      <c r="I5" s="15"/>
    </row>
    <row r="6" spans="1:9" x14ac:dyDescent="0.25">
      <c r="A6" s="7">
        <v>44334</v>
      </c>
      <c r="B6" s="19">
        <f t="shared" ref="B6" si="4">WEEKNUM(A6)</f>
        <v>21</v>
      </c>
      <c r="C6" s="12">
        <v>0.75</v>
      </c>
      <c r="D6" s="13" t="s">
        <v>7</v>
      </c>
      <c r="E6" s="14" t="s">
        <v>53</v>
      </c>
      <c r="F6" s="14"/>
      <c r="I6" s="15"/>
    </row>
    <row r="7" spans="1:9" x14ac:dyDescent="0.25">
      <c r="A7" s="7">
        <v>44333</v>
      </c>
      <c r="B7" s="19">
        <f t="shared" ref="B7" si="5">WEEKNUM(A7)</f>
        <v>21</v>
      </c>
      <c r="C7" s="12">
        <v>0.25</v>
      </c>
      <c r="D7" s="13" t="s">
        <v>9</v>
      </c>
      <c r="E7" s="14" t="s">
        <v>52</v>
      </c>
      <c r="F7" s="14"/>
      <c r="I7" s="15"/>
    </row>
    <row r="8" spans="1:9" x14ac:dyDescent="0.25">
      <c r="A8" s="7">
        <v>44333</v>
      </c>
      <c r="B8" s="19">
        <f t="shared" ref="B8" si="6">WEEKNUM(A8)</f>
        <v>21</v>
      </c>
      <c r="C8" s="12">
        <v>0.5</v>
      </c>
      <c r="D8" s="13" t="s">
        <v>7</v>
      </c>
      <c r="E8" s="14" t="s">
        <v>51</v>
      </c>
      <c r="F8" s="14"/>
      <c r="I8" s="15"/>
    </row>
    <row r="9" spans="1:9" x14ac:dyDescent="0.25">
      <c r="A9" s="7">
        <v>44333</v>
      </c>
      <c r="B9" s="19">
        <f t="shared" ref="B9" si="7">WEEKNUM(A9)</f>
        <v>21</v>
      </c>
      <c r="C9" s="12">
        <v>1</v>
      </c>
      <c r="D9" s="13" t="s">
        <v>7</v>
      </c>
      <c r="E9" s="14" t="s">
        <v>50</v>
      </c>
      <c r="F9" s="14"/>
      <c r="I9" s="15"/>
    </row>
    <row r="10" spans="1:9" ht="60" x14ac:dyDescent="0.25">
      <c r="A10" s="7">
        <v>44333</v>
      </c>
      <c r="B10" s="19">
        <f t="shared" ref="B10" si="8">WEEKNUM(A10)</f>
        <v>21</v>
      </c>
      <c r="C10" s="12">
        <v>5</v>
      </c>
      <c r="D10" s="13" t="s">
        <v>7</v>
      </c>
      <c r="E10" s="14" t="s">
        <v>49</v>
      </c>
      <c r="F10" s="14"/>
      <c r="I10" s="15"/>
    </row>
    <row r="11" spans="1:9" ht="30" x14ac:dyDescent="0.25">
      <c r="A11" s="7">
        <v>44327</v>
      </c>
      <c r="B11" s="19">
        <f t="shared" ref="B11" si="9">WEEKNUM(A11)</f>
        <v>20</v>
      </c>
      <c r="C11" s="12">
        <v>0.5</v>
      </c>
      <c r="D11" s="13" t="s">
        <v>6</v>
      </c>
      <c r="E11" s="14" t="s">
        <v>47</v>
      </c>
      <c r="F11" s="14" t="s">
        <v>48</v>
      </c>
      <c r="I11" s="15"/>
    </row>
    <row r="12" spans="1:9" x14ac:dyDescent="0.25">
      <c r="A12" s="7">
        <v>44327</v>
      </c>
      <c r="B12" s="19">
        <f t="shared" ref="B12" si="10">WEEKNUM(A12)</f>
        <v>20</v>
      </c>
      <c r="C12" s="12">
        <v>0.5</v>
      </c>
      <c r="D12" s="13" t="s">
        <v>7</v>
      </c>
      <c r="E12" s="14" t="s">
        <v>46</v>
      </c>
      <c r="F12" s="14"/>
      <c r="I12" s="15"/>
    </row>
    <row r="13" spans="1:9" ht="30" x14ac:dyDescent="0.25">
      <c r="A13" s="7">
        <v>44327</v>
      </c>
      <c r="B13" s="19">
        <f t="shared" ref="B13" si="11">WEEKNUM(A13)</f>
        <v>20</v>
      </c>
      <c r="C13" s="12">
        <v>1</v>
      </c>
      <c r="D13" s="13" t="s">
        <v>7</v>
      </c>
      <c r="E13" s="14" t="s">
        <v>45</v>
      </c>
      <c r="F13" s="14"/>
      <c r="I13" s="15"/>
    </row>
    <row r="14" spans="1:9" ht="30" x14ac:dyDescent="0.25">
      <c r="A14" s="7">
        <v>44327</v>
      </c>
      <c r="B14" s="19">
        <f t="shared" ref="B14" si="12">WEEKNUM(A14)</f>
        <v>20</v>
      </c>
      <c r="C14" s="12">
        <v>1.5</v>
      </c>
      <c r="D14" s="13" t="s">
        <v>7</v>
      </c>
      <c r="E14" s="14" t="s">
        <v>43</v>
      </c>
      <c r="F14" s="14" t="s">
        <v>44</v>
      </c>
      <c r="I14" s="15"/>
    </row>
    <row r="15" spans="1:9" ht="30" x14ac:dyDescent="0.25">
      <c r="A15" s="7">
        <v>44327</v>
      </c>
      <c r="B15" s="19">
        <f t="shared" ref="B15" si="13">WEEKNUM(A15)</f>
        <v>20</v>
      </c>
      <c r="C15" s="12">
        <v>1.25</v>
      </c>
      <c r="D15" s="13" t="s">
        <v>7</v>
      </c>
      <c r="E15" s="14" t="s">
        <v>42</v>
      </c>
      <c r="F15" s="14"/>
      <c r="I15" s="15"/>
    </row>
    <row r="16" spans="1:9" ht="30" x14ac:dyDescent="0.25">
      <c r="A16" s="7">
        <v>44327</v>
      </c>
      <c r="B16" s="19">
        <f t="shared" ref="B16" si="14">WEEKNUM(A16)</f>
        <v>20</v>
      </c>
      <c r="C16" s="12">
        <v>1.25</v>
      </c>
      <c r="D16" s="13" t="s">
        <v>7</v>
      </c>
      <c r="E16" s="14" t="s">
        <v>42</v>
      </c>
      <c r="F16" s="14"/>
      <c r="I16" s="15"/>
    </row>
    <row r="17" spans="1:9" x14ac:dyDescent="0.25">
      <c r="A17" s="7">
        <v>44326</v>
      </c>
      <c r="B17" s="19">
        <f t="shared" ref="B17" si="15">WEEKNUM(A17)</f>
        <v>20</v>
      </c>
      <c r="C17" s="12">
        <v>1.5</v>
      </c>
      <c r="D17" s="13" t="s">
        <v>7</v>
      </c>
      <c r="E17" s="14" t="s">
        <v>41</v>
      </c>
      <c r="F17" s="14"/>
      <c r="I17" s="15"/>
    </row>
    <row r="18" spans="1:9" x14ac:dyDescent="0.25">
      <c r="A18" s="7">
        <v>44326</v>
      </c>
      <c r="B18" s="19">
        <f t="shared" ref="B18" si="16">WEEKNUM(A18)</f>
        <v>20</v>
      </c>
      <c r="C18" s="12">
        <v>1.5</v>
      </c>
      <c r="D18" s="13" t="s">
        <v>7</v>
      </c>
      <c r="E18" s="14" t="s">
        <v>40</v>
      </c>
      <c r="F18" s="14"/>
      <c r="I18" s="15"/>
    </row>
    <row r="19" spans="1:9" x14ac:dyDescent="0.25">
      <c r="A19" s="7">
        <v>44326</v>
      </c>
      <c r="B19" s="19">
        <f t="shared" ref="B19" si="17">WEEKNUM(A19)</f>
        <v>20</v>
      </c>
      <c r="C19" s="12">
        <v>0.5</v>
      </c>
      <c r="D19" s="13" t="s">
        <v>9</v>
      </c>
      <c r="E19" s="14" t="s">
        <v>39</v>
      </c>
      <c r="F19" s="14"/>
      <c r="I19" s="15"/>
    </row>
    <row r="20" spans="1:9" x14ac:dyDescent="0.25">
      <c r="A20" s="7">
        <v>44326</v>
      </c>
      <c r="B20" s="19">
        <f t="shared" ref="B20" si="18">WEEKNUM(A20)</f>
        <v>20</v>
      </c>
      <c r="C20" s="12">
        <v>0.5</v>
      </c>
      <c r="D20" s="13" t="s">
        <v>6</v>
      </c>
      <c r="E20" s="14" t="s">
        <v>38</v>
      </c>
      <c r="F20" s="14"/>
      <c r="I20" s="15"/>
    </row>
    <row r="21" spans="1:9" ht="30" x14ac:dyDescent="0.25">
      <c r="A21" s="7">
        <v>44326</v>
      </c>
      <c r="B21" s="19">
        <f t="shared" ref="B21" si="19">WEEKNUM(A21)</f>
        <v>20</v>
      </c>
      <c r="C21" s="12">
        <v>0.75</v>
      </c>
      <c r="D21" s="13" t="s">
        <v>9</v>
      </c>
      <c r="E21" s="14" t="s">
        <v>35</v>
      </c>
      <c r="F21" s="14"/>
      <c r="I21" s="15"/>
    </row>
    <row r="22" spans="1:9" x14ac:dyDescent="0.25">
      <c r="A22" s="7">
        <v>44326</v>
      </c>
      <c r="B22" s="19">
        <f t="shared" ref="B22" si="20">WEEKNUM(A22)</f>
        <v>20</v>
      </c>
      <c r="C22" s="12">
        <v>0.5</v>
      </c>
      <c r="D22" s="13" t="s">
        <v>6</v>
      </c>
      <c r="E22" s="14" t="s">
        <v>34</v>
      </c>
      <c r="F22" s="14"/>
      <c r="I22" s="15"/>
    </row>
    <row r="23" spans="1:9" ht="30" x14ac:dyDescent="0.25">
      <c r="A23" s="7">
        <v>44326</v>
      </c>
      <c r="B23" s="19">
        <f t="shared" ref="B23" si="21">WEEKNUM(A23)</f>
        <v>20</v>
      </c>
      <c r="C23" s="12">
        <v>0.75</v>
      </c>
      <c r="D23" s="13" t="s">
        <v>6</v>
      </c>
      <c r="E23" s="14" t="s">
        <v>33</v>
      </c>
      <c r="F23" s="14" t="s">
        <v>32</v>
      </c>
      <c r="I23" s="15"/>
    </row>
    <row r="24" spans="1:9" x14ac:dyDescent="0.25">
      <c r="A24" s="7">
        <v>44326</v>
      </c>
      <c r="B24" s="19">
        <f t="shared" ref="B24" si="22">WEEKNUM(A24)</f>
        <v>20</v>
      </c>
      <c r="C24" s="12">
        <v>0.25</v>
      </c>
      <c r="D24" s="13" t="s">
        <v>6</v>
      </c>
      <c r="E24" s="14" t="s">
        <v>36</v>
      </c>
      <c r="F24" s="14"/>
      <c r="I24" s="15"/>
    </row>
    <row r="25" spans="1:9" x14ac:dyDescent="0.25">
      <c r="A25" s="7">
        <v>44323</v>
      </c>
      <c r="B25" s="19">
        <f t="shared" ref="B25" si="23">WEEKNUM(A25)</f>
        <v>19</v>
      </c>
      <c r="C25" s="12">
        <v>2.25</v>
      </c>
      <c r="D25" s="13" t="s">
        <v>6</v>
      </c>
      <c r="E25" s="14" t="s">
        <v>37</v>
      </c>
      <c r="F25" s="14"/>
      <c r="I25" s="15"/>
    </row>
    <row r="26" spans="1:9" x14ac:dyDescent="0.25">
      <c r="A26" s="7">
        <v>44323</v>
      </c>
      <c r="B26" s="19">
        <f t="shared" ref="B26" si="24">WEEKNUM(A26)</f>
        <v>19</v>
      </c>
      <c r="C26" s="12">
        <v>0.75</v>
      </c>
      <c r="D26" s="13" t="s">
        <v>6</v>
      </c>
      <c r="E26" s="14" t="s">
        <v>28</v>
      </c>
      <c r="F26" s="14"/>
      <c r="I26" s="15"/>
    </row>
    <row r="27" spans="1:9" x14ac:dyDescent="0.25">
      <c r="A27" s="7">
        <v>44322</v>
      </c>
      <c r="B27" s="19">
        <f t="shared" ref="B27:B40" si="25">WEEKNUM(A27)</f>
        <v>19</v>
      </c>
      <c r="C27" s="12">
        <v>1.25</v>
      </c>
      <c r="D27" s="13" t="s">
        <v>6</v>
      </c>
      <c r="E27" s="14" t="s">
        <v>27</v>
      </c>
      <c r="F27" s="14"/>
      <c r="I27" s="15"/>
    </row>
    <row r="28" spans="1:9" ht="30" x14ac:dyDescent="0.25">
      <c r="A28" s="7">
        <v>44322</v>
      </c>
      <c r="B28" s="19">
        <f t="shared" si="25"/>
        <v>19</v>
      </c>
      <c r="C28" s="12">
        <v>0.75</v>
      </c>
      <c r="D28" s="13" t="s">
        <v>9</v>
      </c>
      <c r="E28" s="14" t="s">
        <v>29</v>
      </c>
      <c r="F28" s="14"/>
      <c r="I28" s="15"/>
    </row>
    <row r="29" spans="1:9" x14ac:dyDescent="0.25">
      <c r="A29" s="7">
        <v>44322</v>
      </c>
      <c r="B29" s="19">
        <f t="shared" si="25"/>
        <v>19</v>
      </c>
      <c r="C29" s="12">
        <v>4.75</v>
      </c>
      <c r="D29" s="13" t="s">
        <v>6</v>
      </c>
      <c r="E29" s="14" t="s">
        <v>30</v>
      </c>
      <c r="F29" s="14"/>
      <c r="I29" s="15"/>
    </row>
    <row r="30" spans="1:9" ht="30" x14ac:dyDescent="0.25">
      <c r="A30" s="7">
        <v>44320</v>
      </c>
      <c r="B30" s="19">
        <f t="shared" si="25"/>
        <v>19</v>
      </c>
      <c r="C30" s="12">
        <v>0.5</v>
      </c>
      <c r="D30" s="13" t="s">
        <v>8</v>
      </c>
      <c r="E30" s="14" t="s">
        <v>31</v>
      </c>
      <c r="F30" s="14" t="s">
        <v>26</v>
      </c>
      <c r="I30" s="15"/>
    </row>
    <row r="31" spans="1:9" x14ac:dyDescent="0.25">
      <c r="A31" s="7">
        <v>44320</v>
      </c>
      <c r="B31" s="19">
        <f t="shared" si="25"/>
        <v>19</v>
      </c>
      <c r="C31" s="12">
        <v>1</v>
      </c>
      <c r="D31" s="13" t="s">
        <v>6</v>
      </c>
      <c r="E31" s="14" t="s">
        <v>25</v>
      </c>
      <c r="F31" s="14"/>
      <c r="I31" s="15"/>
    </row>
    <row r="32" spans="1:9" x14ac:dyDescent="0.25">
      <c r="A32" s="7">
        <v>44320</v>
      </c>
      <c r="B32" s="19">
        <f t="shared" si="25"/>
        <v>19</v>
      </c>
      <c r="C32" s="12">
        <v>3</v>
      </c>
      <c r="D32" s="13" t="s">
        <v>6</v>
      </c>
      <c r="E32" s="14" t="s">
        <v>24</v>
      </c>
      <c r="F32" s="14"/>
      <c r="I32" s="15"/>
    </row>
    <row r="33" spans="1:9" x14ac:dyDescent="0.25">
      <c r="A33" s="7">
        <v>44320</v>
      </c>
      <c r="B33" s="19">
        <f t="shared" si="25"/>
        <v>19</v>
      </c>
      <c r="C33" s="12">
        <v>0.75</v>
      </c>
      <c r="D33" s="13" t="s">
        <v>6</v>
      </c>
      <c r="E33" s="14" t="s">
        <v>23</v>
      </c>
      <c r="F33" s="14"/>
      <c r="I33" s="15"/>
    </row>
    <row r="34" spans="1:9" x14ac:dyDescent="0.25">
      <c r="A34" s="7">
        <v>44320</v>
      </c>
      <c r="B34" s="19">
        <f t="shared" si="25"/>
        <v>19</v>
      </c>
      <c r="C34" s="12">
        <v>0.25</v>
      </c>
      <c r="D34" s="13" t="s">
        <v>6</v>
      </c>
      <c r="E34" s="14" t="s">
        <v>22</v>
      </c>
      <c r="F34" s="14"/>
      <c r="I34" s="15"/>
    </row>
    <row r="35" spans="1:9" x14ac:dyDescent="0.25">
      <c r="A35" s="7">
        <v>44320</v>
      </c>
      <c r="B35" s="19">
        <f t="shared" si="25"/>
        <v>19</v>
      </c>
      <c r="C35" s="12">
        <v>0.5</v>
      </c>
      <c r="D35" s="13" t="s">
        <v>6</v>
      </c>
      <c r="E35" s="14" t="s">
        <v>21</v>
      </c>
      <c r="F35" s="14"/>
      <c r="I35" s="15"/>
    </row>
    <row r="36" spans="1:9" x14ac:dyDescent="0.25">
      <c r="A36" s="7">
        <v>44319</v>
      </c>
      <c r="B36" s="19">
        <f t="shared" si="25"/>
        <v>19</v>
      </c>
      <c r="C36" s="12">
        <v>0.75</v>
      </c>
      <c r="D36" s="13" t="s">
        <v>6</v>
      </c>
      <c r="E36" s="14" t="s">
        <v>20</v>
      </c>
      <c r="F36" s="14"/>
      <c r="I36" s="15"/>
    </row>
    <row r="37" spans="1:9" x14ac:dyDescent="0.25">
      <c r="A37" s="7">
        <v>44319</v>
      </c>
      <c r="B37" s="19">
        <f t="shared" si="25"/>
        <v>19</v>
      </c>
      <c r="C37" s="12">
        <v>0.75</v>
      </c>
      <c r="D37" s="13" t="s">
        <v>9</v>
      </c>
      <c r="E37" s="14" t="s">
        <v>19</v>
      </c>
      <c r="F37" s="14"/>
      <c r="I37" s="15"/>
    </row>
    <row r="38" spans="1:9" x14ac:dyDescent="0.25">
      <c r="A38" s="7">
        <v>44319</v>
      </c>
      <c r="B38" s="19">
        <f t="shared" si="25"/>
        <v>19</v>
      </c>
      <c r="C38" s="12">
        <v>2</v>
      </c>
      <c r="D38" s="13" t="s">
        <v>6</v>
      </c>
      <c r="E38" s="14" t="s">
        <v>18</v>
      </c>
      <c r="F38" s="14"/>
      <c r="I38" s="15"/>
    </row>
    <row r="39" spans="1:9" x14ac:dyDescent="0.25">
      <c r="A39" s="7">
        <v>44319</v>
      </c>
      <c r="B39" s="19">
        <f t="shared" si="25"/>
        <v>19</v>
      </c>
      <c r="C39" s="12">
        <v>2</v>
      </c>
      <c r="D39" s="13" t="s">
        <v>6</v>
      </c>
      <c r="E39" s="14" t="s">
        <v>16</v>
      </c>
      <c r="F39" s="14" t="s">
        <v>17</v>
      </c>
      <c r="I39" s="15"/>
    </row>
    <row r="40" spans="1:9" x14ac:dyDescent="0.25">
      <c r="A40" s="7">
        <v>44319</v>
      </c>
      <c r="B40" s="19">
        <f t="shared" si="25"/>
        <v>19</v>
      </c>
      <c r="C40" s="12">
        <v>1.25</v>
      </c>
      <c r="D40" s="13" t="s">
        <v>6</v>
      </c>
      <c r="E40" s="14" t="s">
        <v>14</v>
      </c>
      <c r="F40" s="14" t="s">
        <v>15</v>
      </c>
      <c r="I40" s="15"/>
    </row>
    <row r="41" spans="1:9" x14ac:dyDescent="0.25">
      <c r="A41" s="21"/>
    </row>
  </sheetData>
  <sheetProtection selectLockedCells="1"/>
  <pageMargins left="0.7" right="0.7" top="0.75" bottom="0.75" header="0.3" footer="0.3"/>
  <pageSetup paperSize="9" scale="6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3"/>
  <sheetViews>
    <sheetView workbookViewId="0">
      <selection activeCell="A3" sqref="A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5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4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8</v>
      </c>
      <c r="F4" t="s">
        <v>11</v>
      </c>
    </row>
    <row r="5" spans="1:6" x14ac:dyDescent="0.25">
      <c r="A5" s="5">
        <v>44319</v>
      </c>
      <c r="B5" s="3">
        <v>0.75</v>
      </c>
      <c r="C5" s="3"/>
      <c r="D5" s="3">
        <v>6</v>
      </c>
      <c r="E5" s="3"/>
      <c r="F5" s="3">
        <v>6.75</v>
      </c>
    </row>
    <row r="6" spans="1:6" x14ac:dyDescent="0.25">
      <c r="A6" s="5">
        <v>44320</v>
      </c>
      <c r="B6" s="3"/>
      <c r="C6" s="3"/>
      <c r="D6" s="3">
        <v>5.5</v>
      </c>
      <c r="E6" s="3">
        <v>0.5</v>
      </c>
      <c r="F6" s="3">
        <v>6</v>
      </c>
    </row>
    <row r="7" spans="1:6" x14ac:dyDescent="0.25">
      <c r="A7" s="5">
        <v>44322</v>
      </c>
      <c r="B7" s="3">
        <v>0.75</v>
      </c>
      <c r="C7" s="3"/>
      <c r="D7" s="3">
        <v>6</v>
      </c>
      <c r="E7" s="3"/>
      <c r="F7" s="3">
        <v>6.75</v>
      </c>
    </row>
    <row r="8" spans="1:6" x14ac:dyDescent="0.25">
      <c r="A8" s="5">
        <v>44323</v>
      </c>
      <c r="B8" s="3"/>
      <c r="C8" s="3"/>
      <c r="D8" s="3">
        <v>3</v>
      </c>
      <c r="E8" s="3"/>
      <c r="F8" s="3">
        <v>3</v>
      </c>
    </row>
    <row r="9" spans="1:6" x14ac:dyDescent="0.25">
      <c r="A9" s="5">
        <v>44326</v>
      </c>
      <c r="B9" s="3">
        <v>1.25</v>
      </c>
      <c r="C9" s="3">
        <v>3</v>
      </c>
      <c r="D9" s="3">
        <v>2</v>
      </c>
      <c r="E9" s="3"/>
      <c r="F9" s="3">
        <v>6.25</v>
      </c>
    </row>
    <row r="10" spans="1:6" x14ac:dyDescent="0.25">
      <c r="A10" s="5">
        <v>44327</v>
      </c>
      <c r="B10" s="3"/>
      <c r="C10" s="3">
        <v>5.5</v>
      </c>
      <c r="D10" s="3">
        <v>0.5</v>
      </c>
      <c r="E10" s="3"/>
      <c r="F10" s="3">
        <v>6</v>
      </c>
    </row>
    <row r="11" spans="1:6" x14ac:dyDescent="0.25">
      <c r="A11" s="5">
        <v>44333</v>
      </c>
      <c r="B11" s="3">
        <v>0.25</v>
      </c>
      <c r="C11" s="3">
        <v>6.5</v>
      </c>
      <c r="D11" s="3"/>
      <c r="E11" s="3"/>
      <c r="F11" s="3">
        <v>6.75</v>
      </c>
    </row>
    <row r="12" spans="1:6" x14ac:dyDescent="0.25">
      <c r="A12" s="5">
        <v>44334</v>
      </c>
      <c r="B12" s="3"/>
      <c r="C12" s="3">
        <v>5.75</v>
      </c>
      <c r="D12" s="3">
        <v>0.25</v>
      </c>
      <c r="E12" s="3"/>
      <c r="F12" s="3">
        <v>6</v>
      </c>
    </row>
    <row r="13" spans="1:6" x14ac:dyDescent="0.25">
      <c r="A13" s="5" t="s">
        <v>11</v>
      </c>
      <c r="B13" s="3">
        <v>3</v>
      </c>
      <c r="C13" s="3">
        <v>20.75</v>
      </c>
      <c r="D13" s="3">
        <v>23.25</v>
      </c>
      <c r="E13" s="3">
        <v>0.5</v>
      </c>
      <c r="F13" s="3">
        <v>47.5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8" sqref="E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2021-05-18T14:00:31Z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