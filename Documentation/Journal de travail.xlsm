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2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</calcChain>
</file>

<file path=xl/sharedStrings.xml><?xml version="1.0" encoding="utf-8"?>
<sst xmlns="http://schemas.openxmlformats.org/spreadsheetml/2006/main" count="66" uniqueCount="40">
  <si>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</si>
  <si>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</si>
  <si>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</si>
  <si>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</si>
  <si>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</si>
  <si>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</si>
  <si>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</si>
  <si>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</si>
  <si>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</si>
  <si>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</si>
  <si>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</si>
  <si>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</si>
  <si>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</si>
  <si>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</si>
  <si>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connaissances du cahier des charges et rencontre de l'expert 1.</t>
  </si>
  <si>
    <t>Mise au clair des conditions du TPI et du CdC.</t>
  </si>
  <si>
    <t>Création de la planification initiale.</t>
  </si>
  <si>
    <t>Définition des tâches et de l'ordre dans lequel il faudra les exécuter.</t>
  </si>
  <si>
    <t>Estimation du temps nécessaire pour chaque tâche.</t>
  </si>
  <si>
    <t>Adaptation du canevas de ma documentation au projet.</t>
  </si>
  <si>
    <t>Rédaction de l'introduction et avancement dans les objectifs du projet.</t>
  </si>
  <si>
    <t>Correction de la planification initiale et finalisation de l'analyse préliminaire.</t>
  </si>
  <si>
    <t>Rencontre avec la cheffe de projet pour s'assurer que tout est OK.</t>
  </si>
  <si>
    <t>Création du MCD et intégration dans la documentation.</t>
  </si>
  <si>
    <t>Création des maquettes du programme.</t>
  </si>
  <si>
    <t>Définition de la stratégie de tests.</t>
  </si>
  <si>
    <t>J'ai testé XaoS, usefuljs.net/fractals/, www.arthy.org/fractal/index.php, Fractal Map et Mandelbrot Explorer</t>
  </si>
  <si>
    <t>Avancement dans l'évaluation des risques techniques.</t>
  </si>
  <si>
    <t>Risques techniques terminés.</t>
  </si>
  <si>
    <t>Revue de mes tests avec un camarade pour voir s'il trouvait des cas que je n'avais pas pris en compte.</t>
  </si>
  <si>
    <t>Rédaction des tests du programme.</t>
  </si>
  <si>
    <t>Test de différents programmes pour trouver celui que j'utiliserai pour valider mes tests.</t>
  </si>
  <si>
    <t>Il est très primitif pour l'instant. Il sera amélioré une fois que la séquence sera implémentée et fonctionnelle.</t>
  </si>
  <si>
    <t>Création du diagramme de séquence.</t>
  </si>
  <si>
    <t>Création du MLD.</t>
  </si>
  <si>
    <t>Rédaction du dossier de conception, intégration du MLD et des diagrammes de classe et de séquence.</t>
  </si>
  <si>
    <t>Finalisation du diagramme de classes.</t>
  </si>
  <si>
    <t>Diagramme de classes, en cours.</t>
  </si>
  <si>
    <t>Création de la planification finale.</t>
  </si>
  <si>
    <t>Finalisation de la partie Analyse/Conception.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</si>
</sst>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326.565637268519" createdVersion="4" refreshedVersion="6" minRefreshableVersion="3" recordCount="22">
  <cacheSource type="worksheet">
    <worksheetSource ref="A1:D23" sheet="Journal" r:id="rId2"/>
  </cacheSource>
  <cacheFields count="4">
    <cacheField name="Jour" numFmtId="16">
      <sharedItems containsSemiMixedTypes="0" containsNonDate="0" containsDate="1" containsString="0" minDate="2018-01-01T00:00:00" maxDate="2021-05-11T00:00:00" count="35">
        <d v="2021-05-10T00:00:00"/>
        <d v="2021-05-07T00:00:00"/>
        <d v="2021-05-06T00:00:00"/>
        <d v="2021-05-04T00:00:00"/>
        <d v="2021-05-03T00:00:00"/>
        <d v="2021-03-14T00:00:00" u="1"/>
        <d v="2021-02-02T00:00:00" u="1"/>
        <d v="2021-03-26T00:00:00" u="1"/>
        <d v="2021-03-31T00:00:00" u="1"/>
        <d v="2021-03-05T00:00:00" u="1"/>
        <d v="2021-02-19T00:00:00" u="1"/>
        <d v="2021-02-12T00:00:00" u="1"/>
        <d v="2021-02-05T00:00:00" u="1"/>
        <d v="2021-03-10T00:00:00" u="1"/>
        <d v="2021-03-29T00:00:00" u="1"/>
        <d v="2021-03-03T00:00:00" u="1"/>
        <d v="2021-02-17T00:00:00" u="1"/>
        <d v="2021-03-22T00:00:00" u="1"/>
        <d v="2021-02-10T00:00:00" u="1"/>
        <d v="2021-04-01T00:00:00" u="1"/>
        <d v="2021-03-15T00:00:00" u="1"/>
        <d v="2021-03-08T00:00:00" u="1"/>
        <d v="2021-03-01T00:00:00" u="1"/>
        <d v="2021-02-15T00:00:00" u="1"/>
        <d v="2021-02-08T00:00:00" u="1"/>
        <d v="2021-03-13T00:00:00" u="1"/>
        <d v="2021-02-01T00:00:00" u="1"/>
        <d v="2021-03-25T00:00:00" u="1"/>
        <d v="2018-01-01T00:00:00" u="1"/>
        <d v="2021-03-18T00:00:00" u="1"/>
        <d v="2021-03-11T00:00:00" u="1"/>
        <d v="2021-03-04T00:00:00" u="1"/>
        <d v="2021-02-18T00:00:00" u="1"/>
        <d v="2021-02-11T00:00:00" u="1"/>
        <d v="2021-02-04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h]" numFmtId="2">
      <sharedItems containsSemiMixedTypes="0" containsString="0" containsNumber="1" minValue="0.25" maxValue="4.75"/>
    </cacheField>
    <cacheField name="Type" numFmtId="0">
      <sharedItems count="4">
        <s v="Documentation"/>
        <s v="Analyse"/>
        <s v="Tests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n v="20"/>
    <n v="0.5"/>
    <x v="0"/>
  </r>
  <r>
    <x v="0"/>
    <n v="20"/>
    <n v="0.5"/>
    <x v="1"/>
  </r>
  <r>
    <x v="0"/>
    <n v="20"/>
    <n v="0.75"/>
    <x v="0"/>
  </r>
  <r>
    <x v="0"/>
    <n v="20"/>
    <n v="0.5"/>
    <x v="1"/>
  </r>
  <r>
    <x v="0"/>
    <n v="20"/>
    <n v="0.75"/>
    <x v="1"/>
  </r>
  <r>
    <x v="0"/>
    <n v="20"/>
    <n v="0.25"/>
    <x v="1"/>
  </r>
  <r>
    <x v="1"/>
    <n v="19"/>
    <n v="2.25"/>
    <x v="1"/>
  </r>
  <r>
    <x v="1"/>
    <n v="19"/>
    <n v="0.75"/>
    <x v="1"/>
  </r>
  <r>
    <x v="2"/>
    <n v="19"/>
    <n v="1.25"/>
    <x v="1"/>
  </r>
  <r>
    <x v="2"/>
    <n v="19"/>
    <n v="0.75"/>
    <x v="0"/>
  </r>
  <r>
    <x v="2"/>
    <n v="19"/>
    <n v="4.75"/>
    <x v="1"/>
  </r>
  <r>
    <x v="3"/>
    <n v="19"/>
    <n v="0.5"/>
    <x v="2"/>
  </r>
  <r>
    <x v="3"/>
    <n v="19"/>
    <n v="1"/>
    <x v="1"/>
  </r>
  <r>
    <x v="3"/>
    <n v="19"/>
    <n v="3"/>
    <x v="1"/>
  </r>
  <r>
    <x v="3"/>
    <n v="19"/>
    <n v="0.75"/>
    <x v="1"/>
  </r>
  <r>
    <x v="3"/>
    <n v="19"/>
    <n v="0.25"/>
    <x v="1"/>
  </r>
  <r>
    <x v="3"/>
    <n v="19"/>
    <n v="0.5"/>
    <x v="1"/>
  </r>
  <r>
    <x v="4"/>
    <n v="19"/>
    <n v="0.75"/>
    <x v="1"/>
  </r>
  <r>
    <x v="4"/>
    <n v="19"/>
    <n v="0.75"/>
    <x v="0"/>
  </r>
  <r>
    <x v="4"/>
    <n v="19"/>
    <n v="2"/>
    <x v="1"/>
  </r>
  <r>
    <x v="4"/>
    <n v="19"/>
    <n v="2"/>
    <x v="1"/>
  </r>
  <r>
    <x v="4"/>
    <n v="19"/>
    <n v="1.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10" firstHeaderRow="1" firstDataRow="2" firstDataCol="1"/>
  <pivotFields count="4">
    <pivotField axis="axisRow" numFmtId="16" showAll="0" sortType="ascending">
      <items count="36">
        <item m="1" x="28"/>
        <item m="1" x="26"/>
        <item m="1" x="6"/>
        <item m="1" x="34"/>
        <item m="1" x="12"/>
        <item m="1" x="24"/>
        <item m="1" x="18"/>
        <item m="1" x="33"/>
        <item m="1" x="11"/>
        <item m="1" x="23"/>
        <item m="1" x="16"/>
        <item m="1" x="32"/>
        <item m="1" x="10"/>
        <item m="1" x="22"/>
        <item m="1" x="15"/>
        <item m="1" x="31"/>
        <item m="1" x="9"/>
        <item m="1" x="21"/>
        <item m="1" x="13"/>
        <item m="1" x="30"/>
        <item m="1" x="25"/>
        <item m="1" x="5"/>
        <item m="1" x="20"/>
        <item m="1" x="29"/>
        <item m="1" x="17"/>
        <item m="1" x="27"/>
        <item m="1" x="7"/>
        <item m="1" x="14"/>
        <item m="1" x="8"/>
        <item m="1" x="19"/>
        <item x="4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5">
        <item x="0"/>
        <item m="1" x="3"/>
        <item x="1"/>
        <item x="2"/>
        <item t="default"/>
      </items>
    </pivotField>
  </pivotFields>
  <rowFields count="1">
    <field x="0"/>
  </rowFields>
  <rowItems count="6">
    <i>
      <x v="30"/>
    </i>
    <i>
      <x v="31"/>
    </i>
    <i>
      <x v="32"/>
    </i>
    <i>
      <x v="33"/>
    </i>
    <i>
      <x v="34"/>
    </i>
    <i t="grand">
      <x/>
    </i>
  </rowItems>
  <colFields count="1">
    <field x="3"/>
  </colFields>
  <colItems count="4">
    <i>
      <x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8" bestFit="1" customWidth="1"/>
    <col min="2" max="2" width="8.85546875" style="20" customWidth="1"/>
    <col min="3" max="3" width="10" style="16" customWidth="1"/>
    <col min="4" max="4" width="14.7109375" style="8" bestFit="1" customWidth="1"/>
    <col min="5" max="5" width="80.7109375" style="17" bestFit="1" customWidth="1"/>
    <col min="6" max="6" width="75.140625" style="17" customWidth="1"/>
    <col min="7" max="16384" width="9.140625" style="11"/>
  </cols>
  <sheetData>
    <row r="1" spans="1:9" ht="15.75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44326</v>
      </c>
      <c r="B2" s="19">
        <f t="shared" ref="B2" si="0">WEEKNUM(A2)</f>
        <v>20</v>
      </c>
      <c r="C2" s="12">
        <v>0.5</v>
      </c>
      <c r="D2" s="13" t="s">
        <v>9</v>
      </c>
      <c r="E2" s="14" t="s">
        <v>39</v>
      </c>
      <c r="F2" s="14"/>
      <c r="I2" s="15"/>
    </row>
    <row r="3" spans="1:9" x14ac:dyDescent="0.25">
      <c r="A3" s="7">
        <v>44326</v>
      </c>
      <c r="B3" s="19">
        <f t="shared" ref="B3" si="1">WEEKNUM(A3)</f>
        <v>20</v>
      </c>
      <c r="C3" s="12">
        <v>0.5</v>
      </c>
      <c r="D3" s="13" t="s">
        <v>6</v>
      </c>
      <c r="E3" s="14" t="s">
        <v>38</v>
      </c>
      <c r="F3" s="14"/>
      <c r="I3" s="15"/>
    </row>
    <row r="4" spans="1:9" ht="30" x14ac:dyDescent="0.25">
      <c r="A4" s="7">
        <v>44326</v>
      </c>
      <c r="B4" s="19">
        <f t="shared" ref="B4" si="2">WEEKNUM(A4)</f>
        <v>20</v>
      </c>
      <c r="C4" s="12">
        <v>0.75</v>
      </c>
      <c r="D4" s="13" t="s">
        <v>9</v>
      </c>
      <c r="E4" s="14" t="s">
        <v>35</v>
      </c>
      <c r="F4" s="14"/>
      <c r="I4" s="15"/>
    </row>
    <row r="5" spans="1:9" x14ac:dyDescent="0.25">
      <c r="A5" s="7">
        <v>44326</v>
      </c>
      <c r="B5" s="19">
        <f t="shared" ref="B5" si="3">WEEKNUM(A5)</f>
        <v>20</v>
      </c>
      <c r="C5" s="12">
        <v>0.5</v>
      </c>
      <c r="D5" s="13" t="s">
        <v>6</v>
      </c>
      <c r="E5" s="14" t="s">
        <v>34</v>
      </c>
      <c r="F5" s="14"/>
      <c r="I5" s="15"/>
    </row>
    <row r="6" spans="1:9" ht="30" x14ac:dyDescent="0.25">
      <c r="A6" s="7">
        <v>44326</v>
      </c>
      <c r="B6" s="19">
        <f t="shared" ref="B6" si="4">WEEKNUM(A6)</f>
        <v>20</v>
      </c>
      <c r="C6" s="12">
        <v>0.75</v>
      </c>
      <c r="D6" s="13" t="s">
        <v>6</v>
      </c>
      <c r="E6" s="14" t="s">
        <v>33</v>
      </c>
      <c r="F6" s="14" t="s">
        <v>32</v>
      </c>
      <c r="I6" s="15"/>
    </row>
    <row r="7" spans="1:9" x14ac:dyDescent="0.25">
      <c r="A7" s="7">
        <v>44326</v>
      </c>
      <c r="B7" s="19">
        <f t="shared" ref="B7" si="5">WEEKNUM(A7)</f>
        <v>20</v>
      </c>
      <c r="C7" s="12">
        <v>0.25</v>
      </c>
      <c r="D7" s="13" t="s">
        <v>6</v>
      </c>
      <c r="E7" s="14" t="s">
        <v>36</v>
      </c>
      <c r="F7" s="14"/>
      <c r="I7" s="15"/>
    </row>
    <row r="8" spans="1:9" x14ac:dyDescent="0.25">
      <c r="A8" s="7">
        <v>44323</v>
      </c>
      <c r="B8" s="19">
        <f t="shared" ref="B8" si="6">WEEKNUM(A8)</f>
        <v>19</v>
      </c>
      <c r="C8" s="12">
        <v>2.25</v>
      </c>
      <c r="D8" s="13" t="s">
        <v>6</v>
      </c>
      <c r="E8" s="14" t="s">
        <v>37</v>
      </c>
      <c r="F8" s="14"/>
      <c r="I8" s="15"/>
    </row>
    <row r="9" spans="1:9" x14ac:dyDescent="0.25">
      <c r="A9" s="7">
        <v>44323</v>
      </c>
      <c r="B9" s="19">
        <f t="shared" ref="B9" si="7">WEEKNUM(A9)</f>
        <v>19</v>
      </c>
      <c r="C9" s="12">
        <v>0.75</v>
      </c>
      <c r="D9" s="13" t="s">
        <v>6</v>
      </c>
      <c r="E9" s="14" t="s">
        <v>28</v>
      </c>
      <c r="F9" s="14"/>
      <c r="I9" s="15"/>
    </row>
    <row r="10" spans="1:9" x14ac:dyDescent="0.25">
      <c r="A10" s="7">
        <v>44322</v>
      </c>
      <c r="B10" s="19">
        <f t="shared" ref="B10:B23" si="8">WEEKNUM(A10)</f>
        <v>19</v>
      </c>
      <c r="C10" s="12">
        <v>1.25</v>
      </c>
      <c r="D10" s="13" t="s">
        <v>6</v>
      </c>
      <c r="E10" s="14" t="s">
        <v>27</v>
      </c>
      <c r="F10" s="14"/>
      <c r="I10" s="15"/>
    </row>
    <row r="11" spans="1:9" ht="30" x14ac:dyDescent="0.25">
      <c r="A11" s="7">
        <v>44322</v>
      </c>
      <c r="B11" s="19">
        <f t="shared" si="8"/>
        <v>19</v>
      </c>
      <c r="C11" s="12">
        <v>0.75</v>
      </c>
      <c r="D11" s="13" t="s">
        <v>9</v>
      </c>
      <c r="E11" s="14" t="s">
        <v>29</v>
      </c>
      <c r="F11" s="14"/>
      <c r="I11" s="15"/>
    </row>
    <row r="12" spans="1:9" x14ac:dyDescent="0.25">
      <c r="A12" s="7">
        <v>44322</v>
      </c>
      <c r="B12" s="19">
        <f t="shared" si="8"/>
        <v>19</v>
      </c>
      <c r="C12" s="12">
        <v>4.75</v>
      </c>
      <c r="D12" s="13" t="s">
        <v>6</v>
      </c>
      <c r="E12" s="14" t="s">
        <v>30</v>
      </c>
      <c r="F12" s="14"/>
      <c r="I12" s="15"/>
    </row>
    <row r="13" spans="1:9" ht="30" x14ac:dyDescent="0.25">
      <c r="A13" s="7">
        <v>44320</v>
      </c>
      <c r="B13" s="19">
        <f t="shared" si="8"/>
        <v>19</v>
      </c>
      <c r="C13" s="12">
        <v>0.5</v>
      </c>
      <c r="D13" s="13" t="s">
        <v>8</v>
      </c>
      <c r="E13" s="14" t="s">
        <v>31</v>
      </c>
      <c r="F13" s="14" t="s">
        <v>26</v>
      </c>
      <c r="I13" s="15"/>
    </row>
    <row r="14" spans="1:9" x14ac:dyDescent="0.25">
      <c r="A14" s="7">
        <v>44320</v>
      </c>
      <c r="B14" s="19">
        <f t="shared" si="8"/>
        <v>19</v>
      </c>
      <c r="C14" s="12">
        <v>1</v>
      </c>
      <c r="D14" s="13" t="s">
        <v>6</v>
      </c>
      <c r="E14" s="14" t="s">
        <v>25</v>
      </c>
      <c r="F14" s="14"/>
      <c r="I14" s="15"/>
    </row>
    <row r="15" spans="1:9" x14ac:dyDescent="0.25">
      <c r="A15" s="7">
        <v>44320</v>
      </c>
      <c r="B15" s="19">
        <f t="shared" si="8"/>
        <v>19</v>
      </c>
      <c r="C15" s="12">
        <v>3</v>
      </c>
      <c r="D15" s="13" t="s">
        <v>6</v>
      </c>
      <c r="E15" s="14" t="s">
        <v>24</v>
      </c>
      <c r="F15" s="14"/>
      <c r="I15" s="15"/>
    </row>
    <row r="16" spans="1:9" x14ac:dyDescent="0.25">
      <c r="A16" s="7">
        <v>44320</v>
      </c>
      <c r="B16" s="19">
        <f t="shared" si="8"/>
        <v>19</v>
      </c>
      <c r="C16" s="12">
        <v>0.75</v>
      </c>
      <c r="D16" s="13" t="s">
        <v>6</v>
      </c>
      <c r="E16" s="14" t="s">
        <v>23</v>
      </c>
      <c r="F16" s="14"/>
      <c r="I16" s="15"/>
    </row>
    <row r="17" spans="1:9" x14ac:dyDescent="0.25">
      <c r="A17" s="7">
        <v>44320</v>
      </c>
      <c r="B17" s="19">
        <f t="shared" si="8"/>
        <v>19</v>
      </c>
      <c r="C17" s="12">
        <v>0.25</v>
      </c>
      <c r="D17" s="13" t="s">
        <v>6</v>
      </c>
      <c r="E17" s="14" t="s">
        <v>22</v>
      </c>
      <c r="F17" s="14"/>
      <c r="I17" s="15"/>
    </row>
    <row r="18" spans="1:9" x14ac:dyDescent="0.25">
      <c r="A18" s="7">
        <v>44320</v>
      </c>
      <c r="B18" s="19">
        <f t="shared" si="8"/>
        <v>19</v>
      </c>
      <c r="C18" s="12">
        <v>0.5</v>
      </c>
      <c r="D18" s="13" t="s">
        <v>6</v>
      </c>
      <c r="E18" s="14" t="s">
        <v>21</v>
      </c>
      <c r="F18" s="14"/>
      <c r="I18" s="15"/>
    </row>
    <row r="19" spans="1:9" x14ac:dyDescent="0.25">
      <c r="A19" s="7">
        <v>44319</v>
      </c>
      <c r="B19" s="19">
        <f t="shared" si="8"/>
        <v>19</v>
      </c>
      <c r="C19" s="12">
        <v>0.75</v>
      </c>
      <c r="D19" s="13" t="s">
        <v>6</v>
      </c>
      <c r="E19" s="14" t="s">
        <v>20</v>
      </c>
      <c r="F19" s="14"/>
      <c r="I19" s="15"/>
    </row>
    <row r="20" spans="1:9" x14ac:dyDescent="0.25">
      <c r="A20" s="7">
        <v>44319</v>
      </c>
      <c r="B20" s="19">
        <f t="shared" si="8"/>
        <v>19</v>
      </c>
      <c r="C20" s="12">
        <v>0.75</v>
      </c>
      <c r="D20" s="13" t="s">
        <v>9</v>
      </c>
      <c r="E20" s="14" t="s">
        <v>19</v>
      </c>
      <c r="F20" s="14"/>
      <c r="I20" s="15"/>
    </row>
    <row r="21" spans="1:9" x14ac:dyDescent="0.25">
      <c r="A21" s="7">
        <v>44319</v>
      </c>
      <c r="B21" s="19">
        <f t="shared" si="8"/>
        <v>19</v>
      </c>
      <c r="C21" s="12">
        <v>2</v>
      </c>
      <c r="D21" s="13" t="s">
        <v>6</v>
      </c>
      <c r="E21" s="14" t="s">
        <v>18</v>
      </c>
      <c r="F21" s="14"/>
      <c r="I21" s="15"/>
    </row>
    <row r="22" spans="1:9" x14ac:dyDescent="0.25">
      <c r="A22" s="7">
        <v>44319</v>
      </c>
      <c r="B22" s="19">
        <f t="shared" si="8"/>
        <v>19</v>
      </c>
      <c r="C22" s="12">
        <v>2</v>
      </c>
      <c r="D22" s="13" t="s">
        <v>6</v>
      </c>
      <c r="E22" s="14" t="s">
        <v>16</v>
      </c>
      <c r="F22" s="14" t="s">
        <v>17</v>
      </c>
      <c r="I22" s="15"/>
    </row>
    <row r="23" spans="1:9" x14ac:dyDescent="0.25">
      <c r="A23" s="7">
        <v>44319</v>
      </c>
      <c r="B23" s="19">
        <f t="shared" si="8"/>
        <v>19</v>
      </c>
      <c r="C23" s="12">
        <v>1.25</v>
      </c>
      <c r="D23" s="13" t="s">
        <v>6</v>
      </c>
      <c r="E23" s="14" t="s">
        <v>14</v>
      </c>
      <c r="F23" s="14" t="s">
        <v>15</v>
      </c>
      <c r="I23" s="15"/>
    </row>
    <row r="24" spans="1:9" x14ac:dyDescent="0.25">
      <c r="A24" s="21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10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5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13</v>
      </c>
    </row>
    <row r="4" spans="1:5" x14ac:dyDescent="0.25">
      <c r="B4" t="s">
        <v>9</v>
      </c>
      <c r="C4" t="s">
        <v>6</v>
      </c>
      <c r="D4" t="s">
        <v>8</v>
      </c>
      <c r="E4" t="s">
        <v>11</v>
      </c>
    </row>
    <row r="5" spans="1:5" x14ac:dyDescent="0.25">
      <c r="A5" s="5">
        <v>44319</v>
      </c>
      <c r="B5" s="3">
        <v>0.75</v>
      </c>
      <c r="C5" s="3">
        <v>6</v>
      </c>
      <c r="D5" s="3"/>
      <c r="E5" s="3">
        <v>6.75</v>
      </c>
    </row>
    <row r="6" spans="1:5" x14ac:dyDescent="0.25">
      <c r="A6" s="5">
        <v>44320</v>
      </c>
      <c r="B6" s="3"/>
      <c r="C6" s="3">
        <v>5.5</v>
      </c>
      <c r="D6" s="3">
        <v>0.5</v>
      </c>
      <c r="E6" s="3">
        <v>6</v>
      </c>
    </row>
    <row r="7" spans="1:5" x14ac:dyDescent="0.25">
      <c r="A7" s="5">
        <v>44322</v>
      </c>
      <c r="B7" s="3">
        <v>0.75</v>
      </c>
      <c r="C7" s="3">
        <v>6</v>
      </c>
      <c r="D7" s="3"/>
      <c r="E7" s="3">
        <v>6.75</v>
      </c>
    </row>
    <row r="8" spans="1:5" x14ac:dyDescent="0.25">
      <c r="A8" s="5">
        <v>44323</v>
      </c>
      <c r="B8" s="3"/>
      <c r="C8" s="3">
        <v>3</v>
      </c>
      <c r="D8" s="3"/>
      <c r="E8" s="3">
        <v>3</v>
      </c>
    </row>
    <row r="9" spans="1:5" x14ac:dyDescent="0.25">
      <c r="A9" s="5">
        <v>44326</v>
      </c>
      <c r="B9" s="3">
        <v>1.25</v>
      </c>
      <c r="C9" s="3">
        <v>2</v>
      </c>
      <c r="D9" s="3"/>
      <c r="E9" s="3">
        <v>3.25</v>
      </c>
    </row>
    <row r="10" spans="1:5" x14ac:dyDescent="0.25">
      <c r="A10" s="5" t="s">
        <v>11</v>
      </c>
      <c r="B10" s="3">
        <v>2.75</v>
      </c>
      <c r="C10" s="3">
        <v>22.5</v>
      </c>
      <c r="D10" s="3">
        <v>0.5</v>
      </c>
      <c r="E10" s="3">
        <v>25.75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8" sqref="E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2021-05-10T11:42:19Z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