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8800" windowHeight="1233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 l="1"/>
  <c r="B2" i="1"/>
  <c r="B3" i="1"/>
  <c r="B4"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alcChain>
</file>

<file path=xl/sharedStrings.xml><?xml version="1.0" encoding="utf-8"?>
<sst xmlns="http://schemas.openxmlformats.org/spreadsheetml/2006/main" count="167" uniqueCount="95">
  <si>
    <t>Description</t>
  </si>
  <si>
    <t>Remarques/problèmes</t>
  </si>
  <si>
    <t>Jour</t>
  </si>
  <si>
    <t>Temps [h]</t>
  </si>
  <si>
    <t>Type</t>
  </si>
  <si>
    <t>Types de tâches</t>
  </si>
  <si>
    <t>Analyse</t>
  </si>
  <si>
    <t>Implémentation</t>
  </si>
  <si>
    <t>Tests</t>
  </si>
  <si>
    <t>Documentation</t>
  </si>
  <si>
    <t>Absence</t>
  </si>
  <si>
    <t>Total général</t>
  </si>
  <si>
    <t>Semaine</t>
  </si>
  <si>
    <t>Somme de Temps [h]</t>
  </si>
  <si>
    <t>Prise de connaissances du cahier des charges et rencontre de l'expert 1.</t>
  </si>
  <si>
    <t>Mise au clair des conditions du TPI et du CdC.</t>
  </si>
  <si>
    <t>Création de la planification initiale.</t>
  </si>
  <si>
    <t>Définition des tâches et de l'ordre dans lequel il faudra les exécuter.</t>
  </si>
  <si>
    <t>Estimation du temps nécessaire pour chaque tâche.</t>
  </si>
  <si>
    <t>Adaptation du canevas de ma documentation au projet.</t>
  </si>
  <si>
    <t>Rédaction de l'introduction et avancement dans les objectifs du projet.</t>
  </si>
  <si>
    <t>Correction de la planification initiale et finalisation de l'analyse préliminaire.</t>
  </si>
  <si>
    <t>Rencontre avec la cheffe de projet pour s'assurer que tout est OK.</t>
  </si>
  <si>
    <t>Création du MCD et intégration dans la documentation.</t>
  </si>
  <si>
    <t>Création des maquettes du programme.</t>
  </si>
  <si>
    <t>Définition de la stratégie de tests.</t>
  </si>
  <si>
    <t>J'ai testé XaoS, usefuljs.net/fractals/, www.arthy.org/fractal/index.php, Fractal Map et Mandelbrot Explorer</t>
  </si>
  <si>
    <t>Avancement dans l'évaluation des risques techniques.</t>
  </si>
  <si>
    <t>Risques techniques terminés.</t>
  </si>
  <si>
    <t>Revue de mes tests avec un camarade pour voir s'il trouvait des cas que je n'avais pas pris en compte.</t>
  </si>
  <si>
    <t>Rédaction des tests du programme.</t>
  </si>
  <si>
    <t>Test de différents programmes pour trouver celui que j'utiliserai pour valider mes tests.</t>
  </si>
  <si>
    <t>Il est très primitif pour l'instant. Il sera amélioré une fois que la séquence sera implémentée et fonctionnelle.</t>
  </si>
  <si>
    <t>Création du diagramme de séquence.</t>
  </si>
  <si>
    <t>Création du MLD.</t>
  </si>
  <si>
    <t>Rédaction du dossier de conception, intégration du MLD et des diagrammes de classe et de séquence.</t>
  </si>
  <si>
    <t>Finalisation du diagramme de classes.</t>
  </si>
  <si>
    <t>Diagramme de classes, en cours.</t>
  </si>
  <si>
    <t>Création de la planification finale.</t>
  </si>
  <si>
    <t>Finalisation de la partie Analyse/Conception.</t>
  </si>
  <si>
    <t>Développement de l'interface du programme.</t>
  </si>
  <si>
    <t>Avancement dans l'affichage de l'ensemble de Mandelbrot.</t>
  </si>
  <si>
    <t>L'algorithme pour détecter si un point faire partie de l'ensemble de Mandelbrot fonctionne.</t>
  </si>
  <si>
    <t>Mise en place d'un algorithme qui convertit les coordonnées de la bitmap en coordonnées pour le plan complèxe.</t>
  </si>
  <si>
    <t>Après avoir cherché l'algorithme par moi-même sans succès, je l'ai cherché et trouvé sur internet (lien dans le code pour l'instant).</t>
  </si>
  <si>
    <t>Génération du Mandelbrot fonctionnelle (bugfix et amélioration du temps d'exécution à faire).</t>
  </si>
  <si>
    <t>Correction d'un bug: l'axe des imaginaires était inversé.</t>
  </si>
  <si>
    <t>Réflexions pour implémenter l'algorithme de manière parallèlisée.</t>
  </si>
  <si>
    <t>Je pensais simplement pouvoir utiliser Parallel.For mais cela cause des erreurs fatales quand plusieurs threads essayent d'accéder à la bitmap.</t>
  </si>
  <si>
    <t>Mise en forme du code (ajout de classes et méthodes), gestion des erreurs avec des exceptions personnalisées, modification du curseur durant le chargement pour indiquer à l'utilisateur que le traitement est en cours et ajout de commentaires au code structuré.</t>
  </si>
  <si>
    <t>Mise en place de l'exportation png de la fractale.</t>
  </si>
  <si>
    <t>CRUD de la base de données fonctionnelle avec le packet SQLite.</t>
  </si>
  <si>
    <t>Création d'une image pour la page de garde avec le programme.</t>
  </si>
  <si>
    <t>Rédaction de la fonction de sauvegarde.</t>
  </si>
  <si>
    <t>J'ai eu de la peine à la modification du Select, je n'arrivais pas à lire les données car je ne trouvais pas la bonne fonction de lecture (dépend du type).
J'ai également été bloqué un moment sur un problème de listes : quand j'ajoutais une entrée de la BDD à ma liste à retourner, toutes les entrées prennaient les valeurs de la dernière entrée ajoutée. Pour résoudre ce bug, j'ai ajouté un code qui instancie l'entrée à ajouter avant de l'ajouter.</t>
  </si>
  <si>
    <t>Modification du Select pour lire toutes les colonnes de la base de données, rédaction de la fonction de chargement de l'historique, rédaction de la fonction qui charge une fractale à partir de l'historique mais impossible de l'utiliser actuellement (problème de références).</t>
  </si>
  <si>
    <t>L'interface est désormais dynamique : selon la fractale sélectionnée, uniquement les champs nécessaires sont affichés.</t>
  </si>
  <si>
    <t>Documentation sur la génération de l'ensemble de Julia.</t>
  </si>
  <si>
    <t>Sources utilisées :
https://complex-analysis.com/content/julia_set.html
https://youtu.be/oCkQ7WK7vuY</t>
  </si>
  <si>
    <t>Génération de l'ensemble de Julia fonctionnel.</t>
  </si>
  <si>
    <t>La génération de fractale à partir de l'historique fonctionne à présent. La sauvegarde à été corrigée et des valeurs par défauts ont été mises pour l'ensemble de Julia.</t>
  </si>
  <si>
    <t>Mme Andolfatto a pu m'aider pour la génération à partir de l'historique.</t>
  </si>
  <si>
    <t>Ajout d'info-bulles sur chaque composant pour décrire ce à quoi ils servent.</t>
  </si>
  <si>
    <t>Nettoyage du code et ajout de commentaires.</t>
  </si>
  <si>
    <t>Génération de la documentation Doxygen.</t>
  </si>
  <si>
    <t>Révision du diagramme de classe.</t>
  </si>
  <si>
    <t>Finalisation du diagramme de séquence.</t>
  </si>
  <si>
    <t>Début dans la révision du diagramme de séquence.</t>
  </si>
  <si>
    <t>J'ai eu de la peine à représenter correctement le code car je ne savais pas comment représenter, entre autres, la récursivité dans un diagramme de séquence. Il m'a fallu prendre une periode pour me documenter.</t>
  </si>
  <si>
    <t>Rencontre avec l'expert 2 pour voir l'avancement du projet comme le demande la procédure.</t>
  </si>
  <si>
    <t>Recherche d'une solution pour améliorer la lisibilité du diagramme de séquence.</t>
  </si>
  <si>
    <t>Suite de la recherche d'une solution pour améliorer la lisibilité du diagramme de séquence.</t>
  </si>
  <si>
    <t>J'ai cherché différents agencements des classes et des méthodes pour gagner de l'espace. Je pense qu'il est possible d'organiser le diagramme de manière plus condensée, mais cela aurait un impact trop fort sur sa compréhension.</t>
  </si>
  <si>
    <t>Test de génération d'un installeur.</t>
  </si>
  <si>
    <t>Les tests ont été efféctués sur un projet fictif.</t>
  </si>
  <si>
    <t>Test de création d'un installeur sur Visual Studio.</t>
  </si>
  <si>
    <t>Tentative de générer l'installeur sans succès.</t>
  </si>
  <si>
    <t>J'ai rencontré plusieurs problèmes :
D'abord, le package créé ne trouvait pas SQLite.Interop.dll. J'ai pu résoudre ce problème en éditant le fichier .csproj.
Ensuite, le programme, installé, ne s'exécutait pas pour des raisons inconnues. C'est à ce moment que je me suis rendu compte qu'il existait un autre type de projet pour générer des installeurs. Je suis parti sur cette seconde solution.</t>
  </si>
  <si>
    <t>Tests de génération de l'installeur avec "Microsoft Visual Studio Projects"</t>
  </si>
  <si>
    <t>J'ai commencé à tester ce type de projet, mais n'ai pas réussi à le faire correctement fonctionner.</t>
  </si>
  <si>
    <t>Avancement dans la documentation en attendant de trouver une solution pour l'installeur.</t>
  </si>
  <si>
    <t>Retour sur la génération de l'installeur. Après quelques tentatives, j'ai réussi à le faire fonctionner.
Reste à ajouter les détails comme une îcone et un raccourci dans le menu Démarrer.</t>
  </si>
  <si>
    <t>La résolution du problème était simple : je devais à nouveau modifier le fichier .csproj (que j'avais restauré en changeant de type de projet d'installeur) pour inclure SQLite.Interop.dll et je devais également ajouter les "fichiers de contenu" dans l'installeur.</t>
  </si>
  <si>
    <t>Finalisation de l'installeur.</t>
  </si>
  <si>
    <t>Dernier nettoyage du code.</t>
  </si>
  <si>
    <t>Je me suis assuré que tout ce qui le nécessitait a correctement été documenté.</t>
  </si>
  <si>
    <t>Régénération de la documentation Doxygen et vérification qu'elle soit valide.</t>
  </si>
  <si>
    <t>Passage des tests et début du retour sur les erreurs restantes.</t>
  </si>
  <si>
    <t>Finalisation des retours sur les erreurs restantes.</t>
  </si>
  <si>
    <t>Ajout des tâches manquantes dans TempsReel.gan.</t>
  </si>
  <si>
    <t>Suite des tentatives de génération de l'installeur.</t>
  </si>
  <si>
    <t>Ajout des sources manquantes.</t>
  </si>
  <si>
    <t>Rédaction du dossier de réalisation.</t>
  </si>
  <si>
    <t>Trop de temps perdu suite à cette perte…
Ce qui a été perdu :
- les modifications faites dans la documentation depuis 21.05.21
- les modifications faites dans la journal de travail depuis 21.05.21
- les modifications faites dans TempsReel.gan depuis 18.05.21</t>
  </si>
  <si>
    <t>Réécriture du journal de bord, recréation des tâches que j'avais ajoutées dans TempsReel.gan et début de la réécriture de la documentation suite à la perte de mes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</si>
</sst>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4344.465448958334" createdVersion="4" refreshedVersion="6" minRefreshableVersion="3" recordCount="67">
  <cacheSource type="worksheet">
    <worksheetSource ref="A1:D66" sheet="Journal" r:id="rId2"/>
  </cacheSource>
  <cacheFields count="4">
    <cacheField name="Jour" numFmtId="16">
      <sharedItems containsSemiMixedTypes="0" containsNonDate="0" containsDate="1" containsString="0" minDate="2018-01-01T00:00:00" maxDate="2021-05-29T00:00:00" count="43">
        <d v="2021-05-28T00:00:00"/>
        <d v="2021-05-27T00:00:00"/>
        <d v="2021-05-25T00:00:00"/>
        <d v="2021-05-21T00:00:00"/>
        <d v="2021-05-20T00:00:00"/>
        <d v="2021-05-18T00:00:00"/>
        <d v="2021-05-17T00:00:00"/>
        <d v="2021-05-11T00:00:00"/>
        <d v="2021-05-10T00:00:00"/>
        <d v="2021-05-07T00:00:00"/>
        <d v="2021-05-06T00:00:00"/>
        <d v="2021-05-04T00:00:00"/>
        <d v="2021-05-03T00:00:00"/>
        <d v="2021-03-14T00:00:00" u="1"/>
        <d v="2021-02-02T00:00:00" u="1"/>
        <d v="2021-03-26T00:00:00" u="1"/>
        <d v="2021-03-31T00:00:00" u="1"/>
        <d v="2021-03-05T00:00:00" u="1"/>
        <d v="2021-02-19T00:00:00" u="1"/>
        <d v="2021-02-12T00:00:00" u="1"/>
        <d v="2021-02-05T00:00:00" u="1"/>
        <d v="2021-03-10T00:00:00" u="1"/>
        <d v="2021-03-29T00:00:00" u="1"/>
        <d v="2021-03-03T00:00:00" u="1"/>
        <d v="2021-02-17T00:00:00" u="1"/>
        <d v="2021-03-22T00:00:00" u="1"/>
        <d v="2021-02-10T00:00:00" u="1"/>
        <d v="2021-04-01T00:00:00" u="1"/>
        <d v="2021-03-15T00:00:00" u="1"/>
        <d v="2021-03-08T00:00:00" u="1"/>
        <d v="2021-03-01T00:00:00" u="1"/>
        <d v="2021-02-15T00:00:00" u="1"/>
        <d v="2021-02-08T00:00:00" u="1"/>
        <d v="2021-03-13T00:00:00" u="1"/>
        <d v="2021-02-01T00:00:00" u="1"/>
        <d v="2021-03-25T00:00:00" u="1"/>
        <d v="2018-01-01T00:00:00" u="1"/>
        <d v="2021-03-18T00:00:00" u="1"/>
        <d v="2021-03-11T00:00:00" u="1"/>
        <d v="2021-03-04T00:00:00" u="1"/>
        <d v="2021-02-18T00:00:00" u="1"/>
        <d v="2021-02-11T00:00:00" u="1"/>
        <d v="2021-02-04T00:00:00" u="1"/>
      </sharedItems>
    </cacheField>
    <cacheField name="Semaine" numFmtId="1">
      <sharedItems containsSemiMixedTypes="0" containsString="0" containsNumber="1" containsInteger="1" minValue="19" maxValue="22"/>
    </cacheField>
    <cacheField name="Temps [h]" numFmtId="2">
      <sharedItems containsSemiMixedTypes="0" containsString="0" containsNumber="1" minValue="0.25" maxValue="5"/>
    </cacheField>
    <cacheField name="Type" numFmtId="0">
      <sharedItems count="4">
        <s v="Documentation"/>
        <s v="Tests"/>
        <s v="Implémentation"/>
        <s v="Analy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7">
  <r>
    <x v="0"/>
    <n v="22"/>
    <n v="0.75"/>
    <x v="0"/>
  </r>
  <r>
    <x v="0"/>
    <n v="22"/>
    <n v="0.75"/>
    <x v="0"/>
  </r>
  <r>
    <x v="0"/>
    <n v="22"/>
    <n v="0.75"/>
    <x v="0"/>
  </r>
  <r>
    <x v="0"/>
    <n v="22"/>
    <n v="0.75"/>
    <x v="0"/>
  </r>
  <r>
    <x v="0"/>
    <n v="22"/>
    <n v="0.75"/>
    <x v="0"/>
  </r>
  <r>
    <x v="0"/>
    <n v="22"/>
    <n v="0.75"/>
    <x v="0"/>
  </r>
  <r>
    <x v="0"/>
    <n v="22"/>
    <n v="0.5"/>
    <x v="0"/>
  </r>
  <r>
    <x v="1"/>
    <n v="22"/>
    <n v="1.25"/>
    <x v="1"/>
  </r>
  <r>
    <x v="1"/>
    <n v="22"/>
    <n v="1"/>
    <x v="2"/>
  </r>
  <r>
    <x v="1"/>
    <n v="22"/>
    <n v="1"/>
    <x v="2"/>
  </r>
  <r>
    <x v="1"/>
    <n v="22"/>
    <n v="0.5"/>
    <x v="2"/>
  </r>
  <r>
    <x v="2"/>
    <n v="22"/>
    <n v="0.75"/>
    <x v="2"/>
  </r>
  <r>
    <x v="2"/>
    <n v="22"/>
    <n v="0.75"/>
    <x v="0"/>
  </r>
  <r>
    <x v="2"/>
    <n v="22"/>
    <n v="0.75"/>
    <x v="2"/>
  </r>
  <r>
    <x v="2"/>
    <n v="22"/>
    <n v="0.75"/>
    <x v="2"/>
  </r>
  <r>
    <x v="2"/>
    <n v="22"/>
    <n v="1.5"/>
    <x v="2"/>
  </r>
  <r>
    <x v="2"/>
    <n v="22"/>
    <n v="1"/>
    <x v="2"/>
  </r>
  <r>
    <x v="2"/>
    <n v="22"/>
    <n v="0.5"/>
    <x v="2"/>
  </r>
  <r>
    <x v="3"/>
    <n v="21"/>
    <n v="0.5"/>
    <x v="3"/>
  </r>
  <r>
    <x v="3"/>
    <n v="21"/>
    <n v="0.5"/>
    <x v="3"/>
  </r>
  <r>
    <x v="3"/>
    <n v="21"/>
    <n v="0.25"/>
    <x v="0"/>
  </r>
  <r>
    <x v="3"/>
    <n v="21"/>
    <n v="1.75"/>
    <x v="0"/>
  </r>
  <r>
    <x v="4"/>
    <n v="21"/>
    <n v="1.5"/>
    <x v="0"/>
  </r>
  <r>
    <x v="4"/>
    <n v="21"/>
    <n v="1.5"/>
    <x v="0"/>
  </r>
  <r>
    <x v="4"/>
    <n v="21"/>
    <n v="0.75"/>
    <x v="0"/>
  </r>
  <r>
    <x v="4"/>
    <n v="21"/>
    <n v="1.5"/>
    <x v="2"/>
  </r>
  <r>
    <x v="4"/>
    <n v="21"/>
    <n v="0.75"/>
    <x v="2"/>
  </r>
  <r>
    <x v="4"/>
    <n v="21"/>
    <n v="0.75"/>
    <x v="2"/>
  </r>
  <r>
    <x v="5"/>
    <n v="21"/>
    <n v="0.5"/>
    <x v="2"/>
  </r>
  <r>
    <x v="5"/>
    <n v="21"/>
    <n v="0.25"/>
    <x v="3"/>
  </r>
  <r>
    <x v="5"/>
    <n v="21"/>
    <n v="0.75"/>
    <x v="2"/>
  </r>
  <r>
    <x v="5"/>
    <n v="21"/>
    <n v="3.75"/>
    <x v="2"/>
  </r>
  <r>
    <x v="5"/>
    <n v="21"/>
    <n v="0.75"/>
    <x v="2"/>
  </r>
  <r>
    <x v="6"/>
    <n v="21"/>
    <n v="0.25"/>
    <x v="0"/>
  </r>
  <r>
    <x v="6"/>
    <n v="21"/>
    <n v="0.5"/>
    <x v="2"/>
  </r>
  <r>
    <x v="6"/>
    <n v="21"/>
    <n v="1"/>
    <x v="2"/>
  </r>
  <r>
    <x v="6"/>
    <n v="21"/>
    <n v="5"/>
    <x v="2"/>
  </r>
  <r>
    <x v="7"/>
    <n v="20"/>
    <n v="0.5"/>
    <x v="3"/>
  </r>
  <r>
    <x v="7"/>
    <n v="20"/>
    <n v="0.5"/>
    <x v="2"/>
  </r>
  <r>
    <x v="7"/>
    <n v="20"/>
    <n v="1"/>
    <x v="2"/>
  </r>
  <r>
    <x v="7"/>
    <n v="20"/>
    <n v="1.5"/>
    <x v="2"/>
  </r>
  <r>
    <x v="7"/>
    <n v="20"/>
    <n v="1.25"/>
    <x v="2"/>
  </r>
  <r>
    <x v="7"/>
    <n v="20"/>
    <n v="1.25"/>
    <x v="2"/>
  </r>
  <r>
    <x v="8"/>
    <n v="20"/>
    <n v="1.5"/>
    <x v="2"/>
  </r>
  <r>
    <x v="8"/>
    <n v="20"/>
    <n v="1.5"/>
    <x v="2"/>
  </r>
  <r>
    <x v="8"/>
    <n v="20"/>
    <n v="0.5"/>
    <x v="0"/>
  </r>
  <r>
    <x v="8"/>
    <n v="20"/>
    <n v="0.5"/>
    <x v="3"/>
  </r>
  <r>
    <x v="8"/>
    <n v="20"/>
    <n v="0.75"/>
    <x v="0"/>
  </r>
  <r>
    <x v="8"/>
    <n v="20"/>
    <n v="0.5"/>
    <x v="3"/>
  </r>
  <r>
    <x v="8"/>
    <n v="20"/>
    <n v="0.75"/>
    <x v="3"/>
  </r>
  <r>
    <x v="8"/>
    <n v="20"/>
    <n v="0.25"/>
    <x v="3"/>
  </r>
  <r>
    <x v="9"/>
    <n v="19"/>
    <n v="2.25"/>
    <x v="3"/>
  </r>
  <r>
    <x v="9"/>
    <n v="19"/>
    <n v="0.75"/>
    <x v="3"/>
  </r>
  <r>
    <x v="10"/>
    <n v="19"/>
    <n v="1.25"/>
    <x v="3"/>
  </r>
  <r>
    <x v="10"/>
    <n v="19"/>
    <n v="0.75"/>
    <x v="0"/>
  </r>
  <r>
    <x v="10"/>
    <n v="19"/>
    <n v="4.75"/>
    <x v="3"/>
  </r>
  <r>
    <x v="11"/>
    <n v="19"/>
    <n v="0.5"/>
    <x v="1"/>
  </r>
  <r>
    <x v="11"/>
    <n v="19"/>
    <n v="1"/>
    <x v="3"/>
  </r>
  <r>
    <x v="11"/>
    <n v="19"/>
    <n v="3"/>
    <x v="3"/>
  </r>
  <r>
    <x v="11"/>
    <n v="19"/>
    <n v="0.75"/>
    <x v="3"/>
  </r>
  <r>
    <x v="11"/>
    <n v="19"/>
    <n v="0.25"/>
    <x v="3"/>
  </r>
  <r>
    <x v="11"/>
    <n v="19"/>
    <n v="0.5"/>
    <x v="3"/>
  </r>
  <r>
    <x v="12"/>
    <n v="19"/>
    <n v="0.75"/>
    <x v="3"/>
  </r>
  <r>
    <x v="12"/>
    <n v="19"/>
    <n v="0.75"/>
    <x v="0"/>
  </r>
  <r>
    <x v="12"/>
    <n v="19"/>
    <n v="2"/>
    <x v="3"/>
  </r>
  <r>
    <x v="12"/>
    <n v="19"/>
    <n v="2"/>
    <x v="3"/>
  </r>
  <r>
    <x v="12"/>
    <n v="19"/>
    <n v="1.2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8" firstHeaderRow="1" firstDataRow="2" firstDataCol="1"/>
  <pivotFields count="4">
    <pivotField axis="axisRow" numFmtId="16" showAll="0" sortType="ascending">
      <items count="44">
        <item m="1" x="36"/>
        <item m="1" x="34"/>
        <item m="1" x="14"/>
        <item m="1" x="42"/>
        <item m="1" x="20"/>
        <item m="1" x="32"/>
        <item m="1" x="26"/>
        <item m="1" x="41"/>
        <item m="1" x="19"/>
        <item m="1" x="31"/>
        <item m="1" x="24"/>
        <item m="1" x="40"/>
        <item m="1" x="18"/>
        <item m="1" x="30"/>
        <item m="1" x="23"/>
        <item m="1" x="39"/>
        <item m="1" x="17"/>
        <item m="1" x="29"/>
        <item m="1" x="21"/>
        <item m="1" x="38"/>
        <item m="1" x="33"/>
        <item m="1" x="13"/>
        <item m="1" x="28"/>
        <item m="1" x="37"/>
        <item m="1" x="25"/>
        <item m="1" x="35"/>
        <item m="1" x="15"/>
        <item m="1" x="22"/>
        <item m="1" x="16"/>
        <item m="1" x="27"/>
        <item x="12"/>
        <item x="11"/>
        <item x="10"/>
        <item x="9"/>
        <item x="8"/>
        <item x="7"/>
        <item x="6"/>
        <item x="5"/>
        <item x="4"/>
        <item x="3"/>
        <item x="2"/>
        <item x="1"/>
        <item x="0"/>
        <item t="default"/>
      </items>
    </pivotField>
    <pivotField showAll="0"/>
    <pivotField dataField="1" showAll="0"/>
    <pivotField axis="axisCol" showAll="0">
      <items count="5">
        <item x="0"/>
        <item x="2"/>
        <item x="3"/>
        <item x="1"/>
        <item t="default"/>
      </items>
    </pivotField>
  </pivotFields>
  <rowFields count="1">
    <field x="0"/>
  </rowFields>
  <rowItems count="14">
    <i>
      <x v="30"/>
    </i>
    <i>
      <x v="31"/>
    </i>
    <i>
      <x v="32"/>
    </i>
    <i>
      <x v="33"/>
    </i>
    <i>
      <x v="34"/>
    </i>
    <i>
      <x v="35"/>
    </i>
    <i>
      <x v="36"/>
    </i>
    <i>
      <x v="37"/>
    </i>
    <i>
      <x v="38"/>
    </i>
    <i>
      <x v="39"/>
    </i>
    <i>
      <x v="40"/>
    </i>
    <i>
      <x v="41"/>
    </i>
    <i>
      <x v="42"/>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67"/>
  <sheetViews>
    <sheetView tabSelected="1" workbookViewId="0">
      <selection activeCell="E3" sqref="E3"/>
    </sheetView>
  </sheetViews>
  <sheetFormatPr baseColWidth="10" defaultColWidth="9.140625" defaultRowHeight="15" x14ac:dyDescent="0.25"/>
  <cols>
    <col min="1" max="1" width="7.85546875" style="8" bestFit="1" customWidth="1"/>
    <col min="2" max="2" width="8.85546875" style="20" customWidth="1"/>
    <col min="3" max="3" width="10" style="16" customWidth="1"/>
    <col min="4" max="4" width="14.7109375" style="8" bestFit="1" customWidth="1"/>
    <col min="5" max="5" width="80.7109375" style="17" bestFit="1" customWidth="1"/>
    <col min="6" max="6" width="75.140625" style="17" customWidth="1"/>
    <col min="7" max="16384" width="9.140625" style="11"/>
  </cols>
  <sheetData>
    <row r="1" spans="1:9" ht="15.75" x14ac:dyDescent="0.25">
      <c r="A1" s="6" t="s">
        <v>2</v>
      </c>
      <c r="B1" s="18" t="s">
        <v>12</v>
      </c>
      <c r="C1" s="9" t="s">
        <v>3</v>
      </c>
      <c r="D1" s="6" t="s">
        <v>4</v>
      </c>
      <c r="E1" s="10" t="s">
        <v>0</v>
      </c>
      <c r="F1" s="10" t="s">
        <v>1</v>
      </c>
    </row>
    <row r="2" spans="1:9" ht="75" x14ac:dyDescent="0.25">
      <c r="A2" s="7">
        <v>44344</v>
      </c>
      <c r="B2" s="19">
        <f t="shared" ref="B2" si="0">WEEKNUM(A2)</f>
        <v>22</v>
      </c>
      <c r="C2" s="12">
        <v>1</v>
      </c>
      <c r="D2" s="13" t="s">
        <v>9</v>
      </c>
      <c r="E2" s="14" t="s">
        <v>94</v>
      </c>
      <c r="F2" s="14" t="s">
        <v>93</v>
      </c>
      <c r="I2" s="15"/>
    </row>
    <row r="3" spans="1:9" x14ac:dyDescent="0.25">
      <c r="A3" s="7">
        <v>44344</v>
      </c>
      <c r="B3" s="19">
        <f t="shared" ref="B3" si="1">WEEKNUM(A3)</f>
        <v>22</v>
      </c>
      <c r="C3" s="12">
        <v>1</v>
      </c>
      <c r="D3" s="13" t="s">
        <v>9</v>
      </c>
      <c r="E3" s="14" t="s">
        <v>91</v>
      </c>
      <c r="F3" s="14"/>
      <c r="I3" s="15"/>
    </row>
    <row r="4" spans="1:9" x14ac:dyDescent="0.25">
      <c r="A4" s="7">
        <v>44344</v>
      </c>
      <c r="B4" s="19">
        <f t="shared" ref="B4:B5" si="2">WEEKNUM(A4)</f>
        <v>22</v>
      </c>
      <c r="C4" s="12">
        <v>0.75</v>
      </c>
      <c r="D4" s="13" t="s">
        <v>9</v>
      </c>
      <c r="E4" s="14" t="s">
        <v>89</v>
      </c>
      <c r="F4" s="14"/>
      <c r="I4" s="15"/>
    </row>
    <row r="5" spans="1:9" x14ac:dyDescent="0.25">
      <c r="A5" s="7">
        <v>44344</v>
      </c>
      <c r="B5" s="19">
        <f t="shared" si="2"/>
        <v>22</v>
      </c>
      <c r="C5" s="12">
        <v>0.5</v>
      </c>
      <c r="D5" s="13" t="s">
        <v>9</v>
      </c>
      <c r="E5" s="14" t="s">
        <v>92</v>
      </c>
      <c r="F5" s="14"/>
      <c r="I5" s="15"/>
    </row>
    <row r="6" spans="1:9" x14ac:dyDescent="0.25">
      <c r="A6" s="7">
        <v>44344</v>
      </c>
      <c r="B6" s="19">
        <f t="shared" ref="B6" si="3">WEEKNUM(A6)</f>
        <v>22</v>
      </c>
      <c r="C6" s="12">
        <v>0.5</v>
      </c>
      <c r="D6" s="13" t="s">
        <v>9</v>
      </c>
      <c r="E6" s="14" t="s">
        <v>88</v>
      </c>
      <c r="F6" s="14"/>
      <c r="I6" s="15"/>
    </row>
    <row r="7" spans="1:9" x14ac:dyDescent="0.25">
      <c r="A7" s="7">
        <v>44343</v>
      </c>
      <c r="B7" s="19">
        <f t="shared" ref="B7" si="4">WEEKNUM(A7)</f>
        <v>22</v>
      </c>
      <c r="C7" s="12">
        <v>1.25</v>
      </c>
      <c r="D7" s="13" t="s">
        <v>8</v>
      </c>
      <c r="E7" s="14" t="s">
        <v>87</v>
      </c>
      <c r="F7" s="14"/>
      <c r="I7" s="15"/>
    </row>
    <row r="8" spans="1:9" x14ac:dyDescent="0.25">
      <c r="A8" s="7">
        <v>44343</v>
      </c>
      <c r="B8" s="19">
        <f t="shared" ref="B8" si="5">WEEKNUM(A8)</f>
        <v>22</v>
      </c>
      <c r="C8" s="12">
        <v>1</v>
      </c>
      <c r="D8" s="13" t="s">
        <v>7</v>
      </c>
      <c r="E8" s="14" t="s">
        <v>86</v>
      </c>
      <c r="F8" s="14"/>
      <c r="I8" s="15"/>
    </row>
    <row r="9" spans="1:9" x14ac:dyDescent="0.25">
      <c r="A9" s="7">
        <v>44343</v>
      </c>
      <c r="B9" s="19">
        <f t="shared" ref="B9" si="6">WEEKNUM(A9)</f>
        <v>22</v>
      </c>
      <c r="C9" s="12">
        <v>1</v>
      </c>
      <c r="D9" s="13" t="s">
        <v>7</v>
      </c>
      <c r="E9" s="14" t="s">
        <v>84</v>
      </c>
      <c r="F9" s="14" t="s">
        <v>85</v>
      </c>
      <c r="I9" s="15"/>
    </row>
    <row r="10" spans="1:9" x14ac:dyDescent="0.25">
      <c r="A10" s="7">
        <v>44343</v>
      </c>
      <c r="B10" s="19">
        <f t="shared" ref="B10" si="7">WEEKNUM(A10)</f>
        <v>22</v>
      </c>
      <c r="C10" s="12">
        <v>0.5</v>
      </c>
      <c r="D10" s="13" t="s">
        <v>7</v>
      </c>
      <c r="E10" s="14" t="s">
        <v>83</v>
      </c>
      <c r="F10" s="14"/>
      <c r="I10" s="15"/>
    </row>
    <row r="11" spans="1:9" ht="60" x14ac:dyDescent="0.25">
      <c r="A11" s="7">
        <v>44341</v>
      </c>
      <c r="B11" s="19">
        <f t="shared" ref="B11" si="8">WEEKNUM(A11)</f>
        <v>22</v>
      </c>
      <c r="C11" s="12">
        <v>0.75</v>
      </c>
      <c r="D11" s="13" t="s">
        <v>7</v>
      </c>
      <c r="E11" s="14" t="s">
        <v>81</v>
      </c>
      <c r="F11" s="14" t="s">
        <v>82</v>
      </c>
      <c r="I11" s="15"/>
    </row>
    <row r="12" spans="1:9" ht="30" x14ac:dyDescent="0.25">
      <c r="A12" s="7">
        <v>44341</v>
      </c>
      <c r="B12" s="19">
        <f t="shared" ref="B12" si="9">WEEKNUM(A12)</f>
        <v>22</v>
      </c>
      <c r="C12" s="12">
        <v>0.75</v>
      </c>
      <c r="D12" s="13" t="s">
        <v>9</v>
      </c>
      <c r="E12" s="14" t="s">
        <v>80</v>
      </c>
      <c r="F12" s="14"/>
      <c r="I12" s="15"/>
    </row>
    <row r="13" spans="1:9" x14ac:dyDescent="0.25">
      <c r="A13" s="7">
        <v>44341</v>
      </c>
      <c r="B13" s="19">
        <f t="shared" ref="B13" si="10">WEEKNUM(A13)</f>
        <v>22</v>
      </c>
      <c r="C13" s="12">
        <v>0.75</v>
      </c>
      <c r="D13" s="13" t="s">
        <v>7</v>
      </c>
      <c r="E13" s="14" t="s">
        <v>90</v>
      </c>
      <c r="F13" s="14"/>
      <c r="I13" s="15"/>
    </row>
    <row r="14" spans="1:9" ht="30" x14ac:dyDescent="0.25">
      <c r="A14" s="7">
        <v>44341</v>
      </c>
      <c r="B14" s="19">
        <f t="shared" ref="B14" si="11">WEEKNUM(A14)</f>
        <v>22</v>
      </c>
      <c r="C14" s="12">
        <v>0.75</v>
      </c>
      <c r="D14" s="13" t="s">
        <v>7</v>
      </c>
      <c r="E14" s="14" t="s">
        <v>78</v>
      </c>
      <c r="F14" s="14" t="s">
        <v>79</v>
      </c>
      <c r="I14" s="15"/>
    </row>
    <row r="15" spans="1:9" ht="90" x14ac:dyDescent="0.25">
      <c r="A15" s="7">
        <v>44341</v>
      </c>
      <c r="B15" s="19">
        <f t="shared" ref="B15" si="12">WEEKNUM(A15)</f>
        <v>22</v>
      </c>
      <c r="C15" s="12">
        <v>1.5</v>
      </c>
      <c r="D15" s="13" t="s">
        <v>7</v>
      </c>
      <c r="E15" s="14" t="s">
        <v>76</v>
      </c>
      <c r="F15" s="14" t="s">
        <v>77</v>
      </c>
      <c r="I15" s="15"/>
    </row>
    <row r="16" spans="1:9" x14ac:dyDescent="0.25">
      <c r="A16" s="7">
        <v>44341</v>
      </c>
      <c r="B16" s="19">
        <f t="shared" ref="B16" si="13">WEEKNUM(A16)</f>
        <v>22</v>
      </c>
      <c r="C16" s="12">
        <v>1</v>
      </c>
      <c r="D16" s="13" t="s">
        <v>7</v>
      </c>
      <c r="E16" s="14" t="s">
        <v>73</v>
      </c>
      <c r="F16" s="14" t="s">
        <v>74</v>
      </c>
      <c r="I16" s="15"/>
    </row>
    <row r="17" spans="1:9" x14ac:dyDescent="0.25">
      <c r="A17" s="7">
        <v>44341</v>
      </c>
      <c r="B17" s="19">
        <f t="shared" ref="B17" si="14">WEEKNUM(A17)</f>
        <v>22</v>
      </c>
      <c r="C17" s="12">
        <v>0.5</v>
      </c>
      <c r="D17" s="13" t="s">
        <v>7</v>
      </c>
      <c r="E17" s="14" t="s">
        <v>75</v>
      </c>
      <c r="F17" s="14" t="s">
        <v>74</v>
      </c>
      <c r="I17" s="15"/>
    </row>
    <row r="18" spans="1:9" ht="45" x14ac:dyDescent="0.25">
      <c r="A18" s="7">
        <v>44337</v>
      </c>
      <c r="B18" s="19">
        <f t="shared" ref="B18" si="15">WEEKNUM(A18)</f>
        <v>21</v>
      </c>
      <c r="C18" s="12">
        <v>0.5</v>
      </c>
      <c r="D18" s="13" t="s">
        <v>6</v>
      </c>
      <c r="E18" s="14" t="s">
        <v>71</v>
      </c>
      <c r="F18" s="14" t="s">
        <v>72</v>
      </c>
      <c r="I18" s="15"/>
    </row>
    <row r="19" spans="1:9" ht="30" x14ac:dyDescent="0.25">
      <c r="A19" s="7">
        <v>44337</v>
      </c>
      <c r="B19" s="19">
        <f t="shared" ref="B19" si="16">WEEKNUM(A19)</f>
        <v>21</v>
      </c>
      <c r="C19" s="12">
        <v>0.5</v>
      </c>
      <c r="D19" s="13" t="s">
        <v>6</v>
      </c>
      <c r="E19" s="14" t="s">
        <v>69</v>
      </c>
      <c r="F19" s="14"/>
      <c r="I19" s="15"/>
    </row>
    <row r="20" spans="1:9" x14ac:dyDescent="0.25">
      <c r="A20" s="7">
        <v>44337</v>
      </c>
      <c r="B20" s="19">
        <f t="shared" ref="B20" si="17">WEEKNUM(A20)</f>
        <v>21</v>
      </c>
      <c r="C20" s="12">
        <v>0.25</v>
      </c>
      <c r="D20" s="13" t="s">
        <v>9</v>
      </c>
      <c r="E20" s="14" t="s">
        <v>70</v>
      </c>
      <c r="F20" s="14"/>
      <c r="I20" s="15"/>
    </row>
    <row r="21" spans="1:9" x14ac:dyDescent="0.25">
      <c r="A21" s="7">
        <v>44337</v>
      </c>
      <c r="B21" s="19">
        <f t="shared" ref="B21" si="18">WEEKNUM(A21)</f>
        <v>21</v>
      </c>
      <c r="C21" s="12">
        <v>1.75</v>
      </c>
      <c r="D21" s="13" t="s">
        <v>9</v>
      </c>
      <c r="E21" s="14" t="s">
        <v>66</v>
      </c>
      <c r="F21" s="14"/>
      <c r="I21" s="15"/>
    </row>
    <row r="22" spans="1:9" ht="45" x14ac:dyDescent="0.25">
      <c r="A22" s="7">
        <v>44336</v>
      </c>
      <c r="B22" s="19">
        <f t="shared" ref="B22" si="19">WEEKNUM(A22)</f>
        <v>21</v>
      </c>
      <c r="C22" s="12">
        <v>1.5</v>
      </c>
      <c r="D22" s="13" t="s">
        <v>9</v>
      </c>
      <c r="E22" s="14" t="s">
        <v>67</v>
      </c>
      <c r="F22" s="14" t="s">
        <v>68</v>
      </c>
      <c r="I22" s="15"/>
    </row>
    <row r="23" spans="1:9" x14ac:dyDescent="0.25">
      <c r="A23" s="7">
        <v>44336</v>
      </c>
      <c r="B23" s="19">
        <f t="shared" ref="B23" si="20">WEEKNUM(A23)</f>
        <v>21</v>
      </c>
      <c r="C23" s="12">
        <v>1.5</v>
      </c>
      <c r="D23" s="13" t="s">
        <v>9</v>
      </c>
      <c r="E23" s="14" t="s">
        <v>65</v>
      </c>
      <c r="F23" s="14"/>
      <c r="I23" s="15"/>
    </row>
    <row r="24" spans="1:9" x14ac:dyDescent="0.25">
      <c r="A24" s="7">
        <v>44336</v>
      </c>
      <c r="B24" s="19">
        <f t="shared" ref="B24" si="21">WEEKNUM(A24)</f>
        <v>21</v>
      </c>
      <c r="C24" s="12">
        <v>0.75</v>
      </c>
      <c r="D24" s="13" t="s">
        <v>9</v>
      </c>
      <c r="E24" s="14" t="s">
        <v>64</v>
      </c>
      <c r="F24" s="14"/>
      <c r="I24" s="15"/>
    </row>
    <row r="25" spans="1:9" x14ac:dyDescent="0.25">
      <c r="A25" s="7">
        <v>44336</v>
      </c>
      <c r="B25" s="19">
        <f t="shared" ref="B25" si="22">WEEKNUM(A25)</f>
        <v>21</v>
      </c>
      <c r="C25" s="12">
        <v>1.5</v>
      </c>
      <c r="D25" s="13" t="s">
        <v>7</v>
      </c>
      <c r="E25" s="14" t="s">
        <v>63</v>
      </c>
      <c r="F25" s="14"/>
      <c r="I25" s="15"/>
    </row>
    <row r="26" spans="1:9" x14ac:dyDescent="0.25">
      <c r="A26" s="7">
        <v>44336</v>
      </c>
      <c r="B26" s="19">
        <f t="shared" ref="B26" si="23">WEEKNUM(A26)</f>
        <v>21</v>
      </c>
      <c r="C26" s="12">
        <v>0.75</v>
      </c>
      <c r="D26" s="13" t="s">
        <v>7</v>
      </c>
      <c r="E26" s="14" t="s">
        <v>62</v>
      </c>
      <c r="F26" s="14"/>
      <c r="I26" s="15"/>
    </row>
    <row r="27" spans="1:9" ht="30" x14ac:dyDescent="0.25">
      <c r="A27" s="7">
        <v>44336</v>
      </c>
      <c r="B27" s="19">
        <f t="shared" ref="B27" si="24">WEEKNUM(A27)</f>
        <v>21</v>
      </c>
      <c r="C27" s="12">
        <v>0.75</v>
      </c>
      <c r="D27" s="13" t="s">
        <v>7</v>
      </c>
      <c r="E27" s="14" t="s">
        <v>60</v>
      </c>
      <c r="F27" s="14" t="s">
        <v>61</v>
      </c>
      <c r="I27" s="15"/>
    </row>
    <row r="28" spans="1:9" x14ac:dyDescent="0.25">
      <c r="A28" s="7">
        <v>44334</v>
      </c>
      <c r="B28" s="19">
        <f t="shared" ref="B28" si="25">WEEKNUM(A28)</f>
        <v>21</v>
      </c>
      <c r="C28" s="12">
        <v>0.5</v>
      </c>
      <c r="D28" s="13" t="s">
        <v>7</v>
      </c>
      <c r="E28" s="14" t="s">
        <v>59</v>
      </c>
      <c r="F28" s="14"/>
      <c r="I28" s="15"/>
    </row>
    <row r="29" spans="1:9" ht="45" x14ac:dyDescent="0.25">
      <c r="A29" s="7">
        <v>44334</v>
      </c>
      <c r="B29" s="19">
        <f t="shared" ref="B29" si="26">WEEKNUM(A29)</f>
        <v>21</v>
      </c>
      <c r="C29" s="12">
        <v>0.25</v>
      </c>
      <c r="D29" s="13" t="s">
        <v>6</v>
      </c>
      <c r="E29" s="14" t="s">
        <v>57</v>
      </c>
      <c r="F29" s="14" t="s">
        <v>58</v>
      </c>
      <c r="I29" s="15"/>
    </row>
    <row r="30" spans="1:9" ht="30" x14ac:dyDescent="0.25">
      <c r="A30" s="7">
        <v>44334</v>
      </c>
      <c r="B30" s="19">
        <f t="shared" ref="B30" si="27">WEEKNUM(A30)</f>
        <v>21</v>
      </c>
      <c r="C30" s="12">
        <v>0.75</v>
      </c>
      <c r="D30" s="13" t="s">
        <v>7</v>
      </c>
      <c r="E30" s="14" t="s">
        <v>56</v>
      </c>
      <c r="F30" s="14"/>
      <c r="I30" s="15"/>
    </row>
    <row r="31" spans="1:9" ht="90" x14ac:dyDescent="0.25">
      <c r="A31" s="7">
        <v>44334</v>
      </c>
      <c r="B31" s="19">
        <f t="shared" ref="B31" si="28">WEEKNUM(A31)</f>
        <v>21</v>
      </c>
      <c r="C31" s="12">
        <v>3.75</v>
      </c>
      <c r="D31" s="13" t="s">
        <v>7</v>
      </c>
      <c r="E31" s="14" t="s">
        <v>55</v>
      </c>
      <c r="F31" s="14" t="s">
        <v>54</v>
      </c>
      <c r="I31" s="15"/>
    </row>
    <row r="32" spans="1:9" x14ac:dyDescent="0.25">
      <c r="A32" s="7">
        <v>44334</v>
      </c>
      <c r="B32" s="19">
        <f t="shared" ref="B32" si="29">WEEKNUM(A32)</f>
        <v>21</v>
      </c>
      <c r="C32" s="12">
        <v>0.75</v>
      </c>
      <c r="D32" s="13" t="s">
        <v>7</v>
      </c>
      <c r="E32" s="14" t="s">
        <v>53</v>
      </c>
      <c r="F32" s="14"/>
      <c r="I32" s="15"/>
    </row>
    <row r="33" spans="1:9" x14ac:dyDescent="0.25">
      <c r="A33" s="7">
        <v>44333</v>
      </c>
      <c r="B33" s="19">
        <f t="shared" ref="B33" si="30">WEEKNUM(A33)</f>
        <v>21</v>
      </c>
      <c r="C33" s="12">
        <v>0.25</v>
      </c>
      <c r="D33" s="13" t="s">
        <v>9</v>
      </c>
      <c r="E33" s="14" t="s">
        <v>52</v>
      </c>
      <c r="F33" s="14"/>
      <c r="I33" s="15"/>
    </row>
    <row r="34" spans="1:9" x14ac:dyDescent="0.25">
      <c r="A34" s="7">
        <v>44333</v>
      </c>
      <c r="B34" s="19">
        <f t="shared" ref="B34" si="31">WEEKNUM(A34)</f>
        <v>21</v>
      </c>
      <c r="C34" s="12">
        <v>0.5</v>
      </c>
      <c r="D34" s="13" t="s">
        <v>7</v>
      </c>
      <c r="E34" s="14" t="s">
        <v>51</v>
      </c>
      <c r="F34" s="14"/>
      <c r="I34" s="15"/>
    </row>
    <row r="35" spans="1:9" x14ac:dyDescent="0.25">
      <c r="A35" s="7">
        <v>44333</v>
      </c>
      <c r="B35" s="19">
        <f t="shared" ref="B35" si="32">WEEKNUM(A35)</f>
        <v>21</v>
      </c>
      <c r="C35" s="12">
        <v>1</v>
      </c>
      <c r="D35" s="13" t="s">
        <v>7</v>
      </c>
      <c r="E35" s="14" t="s">
        <v>50</v>
      </c>
      <c r="F35" s="14"/>
      <c r="I35" s="15"/>
    </row>
    <row r="36" spans="1:9" ht="60" x14ac:dyDescent="0.25">
      <c r="A36" s="7">
        <v>44333</v>
      </c>
      <c r="B36" s="19">
        <f t="shared" ref="B36" si="33">WEEKNUM(A36)</f>
        <v>21</v>
      </c>
      <c r="C36" s="12">
        <v>5</v>
      </c>
      <c r="D36" s="13" t="s">
        <v>7</v>
      </c>
      <c r="E36" s="14" t="s">
        <v>49</v>
      </c>
      <c r="F36" s="14"/>
      <c r="I36" s="15"/>
    </row>
    <row r="37" spans="1:9" ht="30" x14ac:dyDescent="0.25">
      <c r="A37" s="7">
        <v>44327</v>
      </c>
      <c r="B37" s="19">
        <f t="shared" ref="B37" si="34">WEEKNUM(A37)</f>
        <v>20</v>
      </c>
      <c r="C37" s="12">
        <v>0.5</v>
      </c>
      <c r="D37" s="13" t="s">
        <v>6</v>
      </c>
      <c r="E37" s="14" t="s">
        <v>47</v>
      </c>
      <c r="F37" s="14" t="s">
        <v>48</v>
      </c>
      <c r="I37" s="15"/>
    </row>
    <row r="38" spans="1:9" x14ac:dyDescent="0.25">
      <c r="A38" s="7">
        <v>44327</v>
      </c>
      <c r="B38" s="19">
        <f t="shared" ref="B38" si="35">WEEKNUM(A38)</f>
        <v>20</v>
      </c>
      <c r="C38" s="12">
        <v>0.5</v>
      </c>
      <c r="D38" s="13" t="s">
        <v>7</v>
      </c>
      <c r="E38" s="14" t="s">
        <v>46</v>
      </c>
      <c r="F38" s="14"/>
      <c r="I38" s="15"/>
    </row>
    <row r="39" spans="1:9" ht="30" x14ac:dyDescent="0.25">
      <c r="A39" s="7">
        <v>44327</v>
      </c>
      <c r="B39" s="19">
        <f t="shared" ref="B39" si="36">WEEKNUM(A39)</f>
        <v>20</v>
      </c>
      <c r="C39" s="12">
        <v>1</v>
      </c>
      <c r="D39" s="13" t="s">
        <v>7</v>
      </c>
      <c r="E39" s="14" t="s">
        <v>45</v>
      </c>
      <c r="F39" s="14"/>
      <c r="I39" s="15"/>
    </row>
    <row r="40" spans="1:9" ht="30" x14ac:dyDescent="0.25">
      <c r="A40" s="7">
        <v>44327</v>
      </c>
      <c r="B40" s="19">
        <f t="shared" ref="B40" si="37">WEEKNUM(A40)</f>
        <v>20</v>
      </c>
      <c r="C40" s="12">
        <v>1.5</v>
      </c>
      <c r="D40" s="13" t="s">
        <v>7</v>
      </c>
      <c r="E40" s="14" t="s">
        <v>43</v>
      </c>
      <c r="F40" s="14" t="s">
        <v>44</v>
      </c>
      <c r="I40" s="15"/>
    </row>
    <row r="41" spans="1:9" ht="30" x14ac:dyDescent="0.25">
      <c r="A41" s="7">
        <v>44327</v>
      </c>
      <c r="B41" s="19">
        <f t="shared" ref="B41" si="38">WEEKNUM(A41)</f>
        <v>20</v>
      </c>
      <c r="C41" s="12">
        <v>1.25</v>
      </c>
      <c r="D41" s="13" t="s">
        <v>7</v>
      </c>
      <c r="E41" s="14" t="s">
        <v>42</v>
      </c>
      <c r="F41" s="14"/>
      <c r="I41" s="15"/>
    </row>
    <row r="42" spans="1:9" ht="30" x14ac:dyDescent="0.25">
      <c r="A42" s="7">
        <v>44327</v>
      </c>
      <c r="B42" s="19">
        <f t="shared" ref="B42" si="39">WEEKNUM(A42)</f>
        <v>20</v>
      </c>
      <c r="C42" s="12">
        <v>1.25</v>
      </c>
      <c r="D42" s="13" t="s">
        <v>7</v>
      </c>
      <c r="E42" s="14" t="s">
        <v>42</v>
      </c>
      <c r="F42" s="14"/>
      <c r="I42" s="15"/>
    </row>
    <row r="43" spans="1:9" x14ac:dyDescent="0.25">
      <c r="A43" s="7">
        <v>44326</v>
      </c>
      <c r="B43" s="19">
        <f t="shared" ref="B43" si="40">WEEKNUM(A43)</f>
        <v>20</v>
      </c>
      <c r="C43" s="12">
        <v>1.5</v>
      </c>
      <c r="D43" s="13" t="s">
        <v>7</v>
      </c>
      <c r="E43" s="14" t="s">
        <v>41</v>
      </c>
      <c r="F43" s="14"/>
      <c r="I43" s="15"/>
    </row>
    <row r="44" spans="1:9" x14ac:dyDescent="0.25">
      <c r="A44" s="7">
        <v>44326</v>
      </c>
      <c r="B44" s="19">
        <f t="shared" ref="B44" si="41">WEEKNUM(A44)</f>
        <v>20</v>
      </c>
      <c r="C44" s="12">
        <v>1.5</v>
      </c>
      <c r="D44" s="13" t="s">
        <v>7</v>
      </c>
      <c r="E44" s="14" t="s">
        <v>40</v>
      </c>
      <c r="F44" s="14"/>
      <c r="I44" s="15"/>
    </row>
    <row r="45" spans="1:9" x14ac:dyDescent="0.25">
      <c r="A45" s="7">
        <v>44326</v>
      </c>
      <c r="B45" s="19">
        <f t="shared" ref="B45" si="42">WEEKNUM(A45)</f>
        <v>20</v>
      </c>
      <c r="C45" s="12">
        <v>0.5</v>
      </c>
      <c r="D45" s="13" t="s">
        <v>9</v>
      </c>
      <c r="E45" s="14" t="s">
        <v>39</v>
      </c>
      <c r="F45" s="14"/>
      <c r="I45" s="15"/>
    </row>
    <row r="46" spans="1:9" x14ac:dyDescent="0.25">
      <c r="A46" s="7">
        <v>44326</v>
      </c>
      <c r="B46" s="19">
        <f t="shared" ref="B46" si="43">WEEKNUM(A46)</f>
        <v>20</v>
      </c>
      <c r="C46" s="12">
        <v>0.5</v>
      </c>
      <c r="D46" s="13" t="s">
        <v>6</v>
      </c>
      <c r="E46" s="14" t="s">
        <v>38</v>
      </c>
      <c r="F46" s="14"/>
      <c r="I46" s="15"/>
    </row>
    <row r="47" spans="1:9" ht="30" x14ac:dyDescent="0.25">
      <c r="A47" s="7">
        <v>44326</v>
      </c>
      <c r="B47" s="19">
        <f t="shared" ref="B47" si="44">WEEKNUM(A47)</f>
        <v>20</v>
      </c>
      <c r="C47" s="12">
        <v>0.75</v>
      </c>
      <c r="D47" s="13" t="s">
        <v>9</v>
      </c>
      <c r="E47" s="14" t="s">
        <v>35</v>
      </c>
      <c r="F47" s="14"/>
      <c r="I47" s="15"/>
    </row>
    <row r="48" spans="1:9" x14ac:dyDescent="0.25">
      <c r="A48" s="7">
        <v>44326</v>
      </c>
      <c r="B48" s="19">
        <f t="shared" ref="B48" si="45">WEEKNUM(A48)</f>
        <v>20</v>
      </c>
      <c r="C48" s="12">
        <v>0.5</v>
      </c>
      <c r="D48" s="13" t="s">
        <v>6</v>
      </c>
      <c r="E48" s="14" t="s">
        <v>34</v>
      </c>
      <c r="F48" s="14"/>
      <c r="I48" s="15"/>
    </row>
    <row r="49" spans="1:9" ht="30" x14ac:dyDescent="0.25">
      <c r="A49" s="7">
        <v>44326</v>
      </c>
      <c r="B49" s="19">
        <f t="shared" ref="B49" si="46">WEEKNUM(A49)</f>
        <v>20</v>
      </c>
      <c r="C49" s="12">
        <v>0.75</v>
      </c>
      <c r="D49" s="13" t="s">
        <v>6</v>
      </c>
      <c r="E49" s="14" t="s">
        <v>33</v>
      </c>
      <c r="F49" s="14" t="s">
        <v>32</v>
      </c>
      <c r="I49" s="15"/>
    </row>
    <row r="50" spans="1:9" x14ac:dyDescent="0.25">
      <c r="A50" s="7">
        <v>44326</v>
      </c>
      <c r="B50" s="19">
        <f t="shared" ref="B50" si="47">WEEKNUM(A50)</f>
        <v>20</v>
      </c>
      <c r="C50" s="12">
        <v>0.25</v>
      </c>
      <c r="D50" s="13" t="s">
        <v>6</v>
      </c>
      <c r="E50" s="14" t="s">
        <v>36</v>
      </c>
      <c r="F50" s="14"/>
      <c r="I50" s="15"/>
    </row>
    <row r="51" spans="1:9" x14ac:dyDescent="0.25">
      <c r="A51" s="7">
        <v>44323</v>
      </c>
      <c r="B51" s="19">
        <f t="shared" ref="B51" si="48">WEEKNUM(A51)</f>
        <v>19</v>
      </c>
      <c r="C51" s="12">
        <v>2.25</v>
      </c>
      <c r="D51" s="13" t="s">
        <v>6</v>
      </c>
      <c r="E51" s="14" t="s">
        <v>37</v>
      </c>
      <c r="F51" s="14"/>
      <c r="I51" s="15"/>
    </row>
    <row r="52" spans="1:9" x14ac:dyDescent="0.25">
      <c r="A52" s="7">
        <v>44323</v>
      </c>
      <c r="B52" s="19">
        <f t="shared" ref="B52" si="49">WEEKNUM(A52)</f>
        <v>19</v>
      </c>
      <c r="C52" s="12">
        <v>0.75</v>
      </c>
      <c r="D52" s="13" t="s">
        <v>6</v>
      </c>
      <c r="E52" s="14" t="s">
        <v>28</v>
      </c>
      <c r="F52" s="14"/>
      <c r="I52" s="15"/>
    </row>
    <row r="53" spans="1:9" x14ac:dyDescent="0.25">
      <c r="A53" s="7">
        <v>44322</v>
      </c>
      <c r="B53" s="19">
        <f t="shared" ref="B53:B66" si="50">WEEKNUM(A53)</f>
        <v>19</v>
      </c>
      <c r="C53" s="12">
        <v>1.25</v>
      </c>
      <c r="D53" s="13" t="s">
        <v>6</v>
      </c>
      <c r="E53" s="14" t="s">
        <v>27</v>
      </c>
      <c r="F53" s="14"/>
      <c r="I53" s="15"/>
    </row>
    <row r="54" spans="1:9" ht="30" x14ac:dyDescent="0.25">
      <c r="A54" s="7">
        <v>44322</v>
      </c>
      <c r="B54" s="19">
        <f t="shared" si="50"/>
        <v>19</v>
      </c>
      <c r="C54" s="12">
        <v>0.75</v>
      </c>
      <c r="D54" s="13" t="s">
        <v>9</v>
      </c>
      <c r="E54" s="14" t="s">
        <v>29</v>
      </c>
      <c r="F54" s="14"/>
      <c r="I54" s="15"/>
    </row>
    <row r="55" spans="1:9" x14ac:dyDescent="0.25">
      <c r="A55" s="7">
        <v>44322</v>
      </c>
      <c r="B55" s="19">
        <f t="shared" si="50"/>
        <v>19</v>
      </c>
      <c r="C55" s="12">
        <v>4.75</v>
      </c>
      <c r="D55" s="13" t="s">
        <v>6</v>
      </c>
      <c r="E55" s="14" t="s">
        <v>30</v>
      </c>
      <c r="F55" s="14"/>
      <c r="I55" s="15"/>
    </row>
    <row r="56" spans="1:9" ht="30" x14ac:dyDescent="0.25">
      <c r="A56" s="7">
        <v>44320</v>
      </c>
      <c r="B56" s="19">
        <f t="shared" si="50"/>
        <v>19</v>
      </c>
      <c r="C56" s="12">
        <v>0.5</v>
      </c>
      <c r="D56" s="13" t="s">
        <v>8</v>
      </c>
      <c r="E56" s="14" t="s">
        <v>31</v>
      </c>
      <c r="F56" s="14" t="s">
        <v>26</v>
      </c>
      <c r="I56" s="15"/>
    </row>
    <row r="57" spans="1:9" x14ac:dyDescent="0.25">
      <c r="A57" s="7">
        <v>44320</v>
      </c>
      <c r="B57" s="19">
        <f t="shared" si="50"/>
        <v>19</v>
      </c>
      <c r="C57" s="12">
        <v>1</v>
      </c>
      <c r="D57" s="13" t="s">
        <v>6</v>
      </c>
      <c r="E57" s="14" t="s">
        <v>25</v>
      </c>
      <c r="F57" s="14"/>
      <c r="I57" s="15"/>
    </row>
    <row r="58" spans="1:9" x14ac:dyDescent="0.25">
      <c r="A58" s="7">
        <v>44320</v>
      </c>
      <c r="B58" s="19">
        <f t="shared" si="50"/>
        <v>19</v>
      </c>
      <c r="C58" s="12">
        <v>3</v>
      </c>
      <c r="D58" s="13" t="s">
        <v>6</v>
      </c>
      <c r="E58" s="14" t="s">
        <v>24</v>
      </c>
      <c r="F58" s="14"/>
      <c r="I58" s="15"/>
    </row>
    <row r="59" spans="1:9" x14ac:dyDescent="0.25">
      <c r="A59" s="7">
        <v>44320</v>
      </c>
      <c r="B59" s="19">
        <f t="shared" si="50"/>
        <v>19</v>
      </c>
      <c r="C59" s="12">
        <v>0.75</v>
      </c>
      <c r="D59" s="13" t="s">
        <v>6</v>
      </c>
      <c r="E59" s="14" t="s">
        <v>23</v>
      </c>
      <c r="F59" s="14"/>
      <c r="I59" s="15"/>
    </row>
    <row r="60" spans="1:9" x14ac:dyDescent="0.25">
      <c r="A60" s="7">
        <v>44320</v>
      </c>
      <c r="B60" s="19">
        <f t="shared" si="50"/>
        <v>19</v>
      </c>
      <c r="C60" s="12">
        <v>0.25</v>
      </c>
      <c r="D60" s="13" t="s">
        <v>6</v>
      </c>
      <c r="E60" s="14" t="s">
        <v>22</v>
      </c>
      <c r="F60" s="14"/>
      <c r="I60" s="15"/>
    </row>
    <row r="61" spans="1:9" x14ac:dyDescent="0.25">
      <c r="A61" s="7">
        <v>44320</v>
      </c>
      <c r="B61" s="19">
        <f t="shared" si="50"/>
        <v>19</v>
      </c>
      <c r="C61" s="12">
        <v>0.5</v>
      </c>
      <c r="D61" s="13" t="s">
        <v>6</v>
      </c>
      <c r="E61" s="14" t="s">
        <v>21</v>
      </c>
      <c r="F61" s="14"/>
      <c r="I61" s="15"/>
    </row>
    <row r="62" spans="1:9" x14ac:dyDescent="0.25">
      <c r="A62" s="7">
        <v>44319</v>
      </c>
      <c r="B62" s="19">
        <f t="shared" si="50"/>
        <v>19</v>
      </c>
      <c r="C62" s="12">
        <v>0.75</v>
      </c>
      <c r="D62" s="13" t="s">
        <v>6</v>
      </c>
      <c r="E62" s="14" t="s">
        <v>20</v>
      </c>
      <c r="F62" s="14"/>
      <c r="I62" s="15"/>
    </row>
    <row r="63" spans="1:9" x14ac:dyDescent="0.25">
      <c r="A63" s="7">
        <v>44319</v>
      </c>
      <c r="B63" s="19">
        <f t="shared" si="50"/>
        <v>19</v>
      </c>
      <c r="C63" s="12">
        <v>0.75</v>
      </c>
      <c r="D63" s="13" t="s">
        <v>9</v>
      </c>
      <c r="E63" s="14" t="s">
        <v>19</v>
      </c>
      <c r="F63" s="14"/>
      <c r="I63" s="15"/>
    </row>
    <row r="64" spans="1:9" x14ac:dyDescent="0.25">
      <c r="A64" s="7">
        <v>44319</v>
      </c>
      <c r="B64" s="19">
        <f t="shared" si="50"/>
        <v>19</v>
      </c>
      <c r="C64" s="12">
        <v>2</v>
      </c>
      <c r="D64" s="13" t="s">
        <v>6</v>
      </c>
      <c r="E64" s="14" t="s">
        <v>18</v>
      </c>
      <c r="F64" s="14"/>
      <c r="I64" s="15"/>
    </row>
    <row r="65" spans="1:9" x14ac:dyDescent="0.25">
      <c r="A65" s="7">
        <v>44319</v>
      </c>
      <c r="B65" s="19">
        <f t="shared" si="50"/>
        <v>19</v>
      </c>
      <c r="C65" s="12">
        <v>2</v>
      </c>
      <c r="D65" s="13" t="s">
        <v>6</v>
      </c>
      <c r="E65" s="14" t="s">
        <v>16</v>
      </c>
      <c r="F65" s="14" t="s">
        <v>17</v>
      </c>
      <c r="I65" s="15"/>
    </row>
    <row r="66" spans="1:9" x14ac:dyDescent="0.25">
      <c r="A66" s="7">
        <v>44319</v>
      </c>
      <c r="B66" s="19">
        <f t="shared" si="50"/>
        <v>19</v>
      </c>
      <c r="C66" s="12">
        <v>1.25</v>
      </c>
      <c r="D66" s="13" t="s">
        <v>6</v>
      </c>
      <c r="E66" s="14" t="s">
        <v>14</v>
      </c>
      <c r="F66" s="14" t="s">
        <v>15</v>
      </c>
      <c r="I66" s="15"/>
    </row>
    <row r="67" spans="1:9" x14ac:dyDescent="0.25">
      <c r="A67" s="21"/>
    </row>
  </sheetData>
  <sheetProtection selectLockedCells="1"/>
  <pageMargins left="0.7" right="0.7" top="0.75" bottom="0.75" header="0.3" footer="0.3"/>
  <pageSetup paperSize="9"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8"/>
  <sheetViews>
    <sheetView workbookViewId="0">
      <selection activeCell="A3" sqref="A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44319</v>
      </c>
      <c r="B5" s="3">
        <v>0.75</v>
      </c>
      <c r="C5" s="3"/>
      <c r="D5" s="3">
        <v>6</v>
      </c>
      <c r="E5" s="3"/>
      <c r="F5" s="3">
        <v>6.75</v>
      </c>
    </row>
    <row r="6" spans="1:6" x14ac:dyDescent="0.25">
      <c r="A6" s="5">
        <v>44320</v>
      </c>
      <c r="B6" s="3"/>
      <c r="C6" s="3"/>
      <c r="D6" s="3">
        <v>5.5</v>
      </c>
      <c r="E6" s="3">
        <v>0.5</v>
      </c>
      <c r="F6" s="3">
        <v>6</v>
      </c>
    </row>
    <row r="7" spans="1:6" x14ac:dyDescent="0.25">
      <c r="A7" s="5">
        <v>44322</v>
      </c>
      <c r="B7" s="3">
        <v>0.75</v>
      </c>
      <c r="C7" s="3"/>
      <c r="D7" s="3">
        <v>6</v>
      </c>
      <c r="E7" s="3"/>
      <c r="F7" s="3">
        <v>6.75</v>
      </c>
    </row>
    <row r="8" spans="1:6" x14ac:dyDescent="0.25">
      <c r="A8" s="5">
        <v>44323</v>
      </c>
      <c r="B8" s="3"/>
      <c r="C8" s="3"/>
      <c r="D8" s="3">
        <v>3</v>
      </c>
      <c r="E8" s="3"/>
      <c r="F8" s="3">
        <v>3</v>
      </c>
    </row>
    <row r="9" spans="1:6" x14ac:dyDescent="0.25">
      <c r="A9" s="5">
        <v>44326</v>
      </c>
      <c r="B9" s="3">
        <v>1.25</v>
      </c>
      <c r="C9" s="3">
        <v>3</v>
      </c>
      <c r="D9" s="3">
        <v>2</v>
      </c>
      <c r="E9" s="3"/>
      <c r="F9" s="3">
        <v>6.25</v>
      </c>
    </row>
    <row r="10" spans="1:6" x14ac:dyDescent="0.25">
      <c r="A10" s="5">
        <v>44327</v>
      </c>
      <c r="B10" s="3"/>
      <c r="C10" s="3">
        <v>5.5</v>
      </c>
      <c r="D10" s="3">
        <v>0.5</v>
      </c>
      <c r="E10" s="3"/>
      <c r="F10" s="3">
        <v>6</v>
      </c>
    </row>
    <row r="11" spans="1:6" x14ac:dyDescent="0.25">
      <c r="A11" s="5">
        <v>44333</v>
      </c>
      <c r="B11" s="3">
        <v>0.25</v>
      </c>
      <c r="C11" s="3">
        <v>6.5</v>
      </c>
      <c r="D11" s="3"/>
      <c r="E11" s="3"/>
      <c r="F11" s="3">
        <v>6.75</v>
      </c>
    </row>
    <row r="12" spans="1:6" x14ac:dyDescent="0.25">
      <c r="A12" s="5">
        <v>44334</v>
      </c>
      <c r="B12" s="3"/>
      <c r="C12" s="3">
        <v>5.75</v>
      </c>
      <c r="D12" s="3">
        <v>0.25</v>
      </c>
      <c r="E12" s="3"/>
      <c r="F12" s="3">
        <v>6</v>
      </c>
    </row>
    <row r="13" spans="1:6" x14ac:dyDescent="0.25">
      <c r="A13" s="5">
        <v>44336</v>
      </c>
      <c r="B13" s="3">
        <v>3.75</v>
      </c>
      <c r="C13" s="3">
        <v>3</v>
      </c>
      <c r="D13" s="3"/>
      <c r="E13" s="3"/>
      <c r="F13" s="3">
        <v>6.75</v>
      </c>
    </row>
    <row r="14" spans="1:6" x14ac:dyDescent="0.25">
      <c r="A14" s="5">
        <v>44337</v>
      </c>
      <c r="B14" s="3">
        <v>2</v>
      </c>
      <c r="C14" s="3"/>
      <c r="D14" s="3">
        <v>1</v>
      </c>
      <c r="E14" s="3"/>
      <c r="F14" s="3">
        <v>3</v>
      </c>
    </row>
    <row r="15" spans="1:6" x14ac:dyDescent="0.25">
      <c r="A15" s="5">
        <v>44341</v>
      </c>
      <c r="B15" s="3">
        <v>0.75</v>
      </c>
      <c r="C15" s="3">
        <v>5.25</v>
      </c>
      <c r="D15" s="3"/>
      <c r="E15" s="3"/>
      <c r="F15" s="3">
        <v>6</v>
      </c>
    </row>
    <row r="16" spans="1:6" x14ac:dyDescent="0.25">
      <c r="A16" s="5">
        <v>44343</v>
      </c>
      <c r="B16" s="3"/>
      <c r="C16" s="3">
        <v>2.5</v>
      </c>
      <c r="D16" s="3"/>
      <c r="E16" s="3">
        <v>1.25</v>
      </c>
      <c r="F16" s="3">
        <v>3.75</v>
      </c>
    </row>
    <row r="17" spans="1:6" x14ac:dyDescent="0.25">
      <c r="A17" s="5">
        <v>44344</v>
      </c>
      <c r="B17" s="3">
        <v>5</v>
      </c>
      <c r="C17" s="3"/>
      <c r="D17" s="3"/>
      <c r="E17" s="3"/>
      <c r="F17" s="3">
        <v>5</v>
      </c>
    </row>
    <row r="18" spans="1:6" x14ac:dyDescent="0.25">
      <c r="A18" s="5" t="s">
        <v>11</v>
      </c>
      <c r="B18" s="3">
        <v>14.5</v>
      </c>
      <c r="C18" s="3">
        <v>31.5</v>
      </c>
      <c r="D18" s="3">
        <v>24.25</v>
      </c>
      <c r="E18" s="3">
        <v>1.75</v>
      </c>
      <c r="F18" s="3">
        <v>72</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8" sqref="E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19FEB6-A0D6-4A2B-9314-C14F905EF45F}">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0119da2b-60ce-4773-88fa-ebab2cde1f5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2021-05-28T09:18:01Z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